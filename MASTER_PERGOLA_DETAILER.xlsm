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auserind-my.sharepoint.com/personal/abida_hauser_ca/Documents/Desktop/my-project/"/>
    </mc:Choice>
  </mc:AlternateContent>
  <xr:revisionPtr revIDLastSave="580" documentId="13_ncr:1_{59F9281E-D40E-437A-9939-991939D83B25}" xr6:coauthVersionLast="47" xr6:coauthVersionMax="47" xr10:uidLastSave="{560EC21E-9B9E-44BA-8C38-1A7DEEDF4FDC}"/>
  <bookViews>
    <workbookView xWindow="-19845" yWindow="3285" windowWidth="19305" windowHeight="11295" activeTab="1" xr2:uid="{31A0BD4F-5F14-48A4-8D17-FA7D338DF773}"/>
  </bookViews>
  <sheets>
    <sheet name="Sheet1" sheetId="1" r:id="rId1"/>
    <sheet name="Quoting" sheetId="5" r:id="rId2"/>
    <sheet name="Pricing" sheetId="4" r:id="rId3"/>
    <sheet name="Connectors" sheetId="7" r:id="rId4"/>
    <sheet name="EndCaps" sheetId="8" r:id="rId5"/>
    <sheet name="Angle" sheetId="9" r:id="rId6"/>
    <sheet name="Flatbar" sheetId="11" r:id="rId7"/>
    <sheet name="Wood" sheetId="10" r:id="rId8"/>
    <sheet name="Settings" sheetId="6" r:id="rId9"/>
  </sheets>
  <definedNames>
    <definedName name="_xleta.IF" hidden="1" xlm="1">#NAME?</definedName>
    <definedName name="_xleta.N" hidden="1" xlm="1">#NAME?</definedName>
    <definedName name="_xleta.OR" hidden="1" xlm="1">#NAME?</definedName>
    <definedName name="_xlpm.addCustom" hidden="1" xlm="1">#NAME?</definedName>
    <definedName name="_xlpm.baseList" hidden="1" xlm="1">#NAME?</definedName>
    <definedName name="_xlpm.beam" hidden="1" xlm="1">#NAME?</definedName>
    <definedName name="_xlpm.beamThick" hidden="1" xlm="1">#NAME?</definedName>
    <definedName name="_xlpm.bigger" hidden="1" xlm="1">#NAME?</definedName>
    <definedName name="_xlpm.biggerSide" hidden="1" xlm="1">#NAME?</definedName>
    <definedName name="_xlpm.cDepth" hidden="1" xlm="1">#NAME?</definedName>
    <definedName name="_xlpm.cov" hidden="1" xlm="1">#NAME?</definedName>
    <definedName name="_xlpm.custom" hidden="1" xlm="1">#NAME?</definedName>
    <definedName name="_xlpm.cWidth" hidden="1" xlm="1">#NAME?</definedName>
    <definedName name="_xlpm.effective_span" hidden="1" xlm="1">#NAME?</definedName>
    <definedName name="_xlpm.filteredSizes" hidden="1" xlm="1">#NAME?</definedName>
    <definedName name="_xlpm.gap" hidden="1" xlm="1">#NAME?</definedName>
    <definedName name="_xlpm.isSixSix" hidden="1" xlm="1">#NAME?</definedName>
    <definedName name="_xlpm.material" hidden="1" xlm="1">#NAME?</definedName>
    <definedName name="_xlpm.n" hidden="1" xlm="1">#NAME?</definedName>
    <definedName name="_xlpm.pw" hidden="1" xlm="1">#NAME?</definedName>
    <definedName name="_xlpm.rawFiltered" hidden="1" xlm="1">#NAME?</definedName>
    <definedName name="_xlpm.rawList" hidden="1" xlm="1">#NAME?</definedName>
    <definedName name="_xlpm.roof" hidden="1" xlm="1">#NAME?</definedName>
    <definedName name="_xlpm.s" hidden="1" xlm="1">#NAME?</definedName>
    <definedName name="_xlpm.side1" hidden="1" xlm="1">#NAME?</definedName>
    <definedName name="_xlpm.side2" hidden="1" xlm="1">#NAME?</definedName>
    <definedName name="_xlpm.sideDepth" hidden="1" xlm="1">#NAME?</definedName>
    <definedName name="_xlpm.sideLength" hidden="1" xlm="1">#NAME?</definedName>
    <definedName name="_xlpm.sizes" hidden="1" xlm="1">#NAME?</definedName>
    <definedName name="_xlpm.smaller" hidden="1" xlm="1">#NAME?</definedName>
    <definedName name="_xlpm.smallerSide" hidden="1" xlm="1">#NAME?</definedName>
    <definedName name="_xlpm.spacing" hidden="1" xlm="1">#NAME?</definedName>
    <definedName name="_xlpm.span" hidden="1" xlm="1">#NAME?</definedName>
    <definedName name="_xlpm.usable" hidden="1" xlm="1">#NAME?</definedName>
    <definedName name="AngleIronList">Angle!$A$2:$A$7</definedName>
    <definedName name="BlocksList">Connectors!$A$2:$A$9</definedName>
    <definedName name="EndCapsList">EndCaps!$A$2:$A$7</definedName>
    <definedName name="FlatbarList">Flatbar!$A$2:$A$7</definedName>
    <definedName name="TubingList">Pricing!$A$2:$A$32</definedName>
    <definedName name="x4x4">Settings!$G$2:$G$3</definedName>
    <definedName name="x6x6">Settings!$H$2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5" l="1"/>
  <c r="D81" i="5"/>
  <c r="F86" i="5"/>
  <c r="F84" i="5" l="1"/>
  <c r="F85" i="5"/>
  <c r="F83" i="5"/>
  <c r="D44" i="5"/>
  <c r="D45" i="5"/>
  <c r="F48" i="5"/>
  <c r="F49" i="5"/>
  <c r="F50" i="5"/>
  <c r="F51" i="5"/>
  <c r="F52" i="5"/>
  <c r="F53" i="5"/>
  <c r="F54" i="5"/>
  <c r="F47" i="5"/>
  <c r="F88" i="5"/>
  <c r="F81" i="5"/>
  <c r="F76" i="5"/>
  <c r="F75" i="5"/>
  <c r="F70" i="5"/>
  <c r="F71" i="5"/>
  <c r="F72" i="5"/>
  <c r="F69" i="5"/>
  <c r="F64" i="5"/>
  <c r="F65" i="5"/>
  <c r="F66" i="5"/>
  <c r="F58" i="5"/>
  <c r="F59" i="5"/>
  <c r="F60" i="5"/>
  <c r="E5" i="11" l="1"/>
  <c r="E4" i="11"/>
  <c r="E3" i="11"/>
  <c r="E2" i="11"/>
  <c r="F6" i="9"/>
  <c r="F5" i="9"/>
  <c r="F4" i="9"/>
  <c r="F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2" i="4"/>
  <c r="C9" i="5"/>
  <c r="J17" i="5"/>
  <c r="D17" i="5"/>
  <c r="D35" i="5"/>
  <c r="D34" i="5"/>
  <c r="D33" i="5"/>
  <c r="F8" i="5"/>
  <c r="L16" i="5" l="1" a="1"/>
  <c r="L16" i="5" s="1"/>
  <c r="J16" i="5" s="1"/>
  <c r="C25" i="5"/>
  <c r="F80" i="5"/>
  <c r="F63" i="5"/>
  <c r="I25" i="5"/>
  <c r="F16" i="5" a="1"/>
  <c r="F16" i="5" s="1"/>
  <c r="D16" i="5" s="1"/>
  <c r="D30" i="5"/>
  <c r="D31" i="5"/>
  <c r="D32" i="5"/>
  <c r="F57" i="5" l="1"/>
  <c r="D92" i="5" l="1"/>
  <c r="D95" i="5" s="1"/>
  <c r="E95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<sst xmlns="http://schemas.openxmlformats.org/spreadsheetml/2006/main" count="380" uniqueCount="300">
  <si>
    <t>OVERALL LENGTH</t>
  </si>
  <si>
    <t>OVERALL DEPTH</t>
  </si>
  <si>
    <t>FT</t>
  </si>
  <si>
    <t>M</t>
  </si>
  <si>
    <t>PERGOLA</t>
  </si>
  <si>
    <t>4X4</t>
  </si>
  <si>
    <t>GRAND PERGOLA</t>
  </si>
  <si>
    <t>6X6</t>
  </si>
  <si>
    <t>ROOF DETAILS</t>
  </si>
  <si>
    <t>ALUMINUM PURLINS</t>
  </si>
  <si>
    <t>1X3</t>
  </si>
  <si>
    <t>2X4</t>
  </si>
  <si>
    <t>2X5</t>
  </si>
  <si>
    <t>2X6</t>
  </si>
  <si>
    <t>ALUMIWOOD PURLINS</t>
  </si>
  <si>
    <t>CEDAR PURLINS</t>
  </si>
  <si>
    <t xml:space="preserve">ORIENTAION </t>
  </si>
  <si>
    <t>VERTICAL</t>
  </si>
  <si>
    <t>HORIZONTAL</t>
  </si>
  <si>
    <t>SPACING</t>
  </si>
  <si>
    <t>MM</t>
  </si>
  <si>
    <t>ECL</t>
  </si>
  <si>
    <t>INSET</t>
  </si>
  <si>
    <t xml:space="preserve">FOOTING </t>
  </si>
  <si>
    <t>LENGTH</t>
  </si>
  <si>
    <t>DEPTH</t>
  </si>
  <si>
    <t>SIDE PANEL</t>
  </si>
  <si>
    <t>SLAT SPACING</t>
  </si>
  <si>
    <t xml:space="preserve">GROUND CLEARANCE </t>
  </si>
  <si>
    <t>INPUTS</t>
  </si>
  <si>
    <t>OUTPUTS</t>
  </si>
  <si>
    <t>CROSS BEAM A</t>
  </si>
  <si>
    <t>CROSS BEAM B</t>
  </si>
  <si>
    <t>COLUMNS</t>
  </si>
  <si>
    <t>OVERALL HEIGHT</t>
  </si>
  <si>
    <t>8.5 FT</t>
  </si>
  <si>
    <t>NUMBER</t>
  </si>
  <si>
    <t>BLOCKS</t>
  </si>
  <si>
    <t>BELOW GRADE</t>
  </si>
  <si>
    <t>PURLINS</t>
  </si>
  <si>
    <t>BOLT DOWN PLATES</t>
  </si>
  <si>
    <t xml:space="preserve">CANOPIES </t>
  </si>
  <si>
    <t>WEIGHT</t>
  </si>
  <si>
    <t>TOTAL WEIGHT</t>
  </si>
  <si>
    <t>ITEM NUMBER</t>
  </si>
  <si>
    <t>in</t>
  </si>
  <si>
    <t>if 4x4 or 6x6 thickness - true/false</t>
  </si>
  <si>
    <t>electrical</t>
  </si>
  <si>
    <t>t/f</t>
  </si>
  <si>
    <t>if inset, 2 more beams and 4 more blocks</t>
  </si>
  <si>
    <t>at what total footprint, does this break or bump up to 6 columns, or 8</t>
  </si>
  <si>
    <t>calculates a suggested number of columns, but there will be override if the customer has dictated</t>
  </si>
  <si>
    <t>remove decorative hardware</t>
  </si>
  <si>
    <t>21' or 24' for purchasing columns</t>
  </si>
  <si>
    <t>4x4</t>
  </si>
  <si>
    <t>ROOF PURLINS</t>
  </si>
  <si>
    <t>DIMENSIONS</t>
  </si>
  <si>
    <t>TYPE OF PERGOLA</t>
  </si>
  <si>
    <t>ELECTRICAL</t>
  </si>
  <si>
    <t>Type</t>
  </si>
  <si>
    <t>Orientation</t>
  </si>
  <si>
    <t>Size</t>
  </si>
  <si>
    <t>Alignment</t>
  </si>
  <si>
    <t>LargeSide</t>
  </si>
  <si>
    <t>1x3</t>
  </si>
  <si>
    <t>2x4</t>
  </si>
  <si>
    <t>2x5</t>
  </si>
  <si>
    <t>2x6</t>
  </si>
  <si>
    <t>SmallSide</t>
  </si>
  <si>
    <t>Available sizes:</t>
  </si>
  <si>
    <t xml:space="preserve">PRIVACY PANEL PURLINS </t>
  </si>
  <si>
    <t># of Roof Purlins required:</t>
  </si>
  <si>
    <t># of privacy panels on length</t>
  </si>
  <si>
    <t># of privacy panels on depth</t>
  </si>
  <si>
    <t># of Side Purlins on length:</t>
  </si>
  <si>
    <t># of Side Purlins on depth:</t>
  </si>
  <si>
    <t>Text box</t>
  </si>
  <si>
    <t>Drop down</t>
  </si>
  <si>
    <t>Highlight</t>
  </si>
  <si>
    <t>Labels</t>
  </si>
  <si>
    <t>PIECE BREAKDOWN</t>
  </si>
  <si>
    <t>Coverage (%)</t>
  </si>
  <si>
    <t>Ground clearance (in)</t>
  </si>
  <si>
    <t>Length</t>
  </si>
  <si>
    <t>Depth</t>
  </si>
  <si>
    <t>Height</t>
  </si>
  <si>
    <t xml:space="preserve">                                                          FT</t>
  </si>
  <si>
    <t xml:space="preserve">                    IN</t>
  </si>
  <si>
    <t xml:space="preserve">                     MM</t>
  </si>
  <si>
    <t>Gap between purlins (in)</t>
  </si>
  <si>
    <t>Top clearance (in)</t>
  </si>
  <si>
    <t>Suggested type:</t>
  </si>
  <si>
    <t>&lt;------------</t>
  </si>
  <si>
    <t>Custom Size (AxB)</t>
  </si>
  <si>
    <t>NOTES</t>
  </si>
  <si>
    <t>Bigger side is on top.</t>
  </si>
  <si>
    <t>1. Parallel to top:</t>
  </si>
  <si>
    <t>2. Parallel to height:</t>
  </si>
  <si>
    <t>Roof orientation (Top View):</t>
  </si>
  <si>
    <t>Privacy Panel orientation (Front view):</t>
  </si>
  <si>
    <t>Bigger side faces outwards.</t>
  </si>
  <si>
    <t>Smaller side faces outwards.</t>
  </si>
  <si>
    <t>Bigger faces outwards</t>
  </si>
  <si>
    <t>Smaller faces outwards</t>
  </si>
  <si>
    <t>a. Horizontal:</t>
  </si>
  <si>
    <t>b. Vertical:</t>
  </si>
  <si>
    <t>1. Horizontal:</t>
  </si>
  <si>
    <t>2 Vertical:</t>
  </si>
  <si>
    <t>Standard Blocks</t>
  </si>
  <si>
    <t xml:space="preserve">                                              Total</t>
  </si>
  <si>
    <t>Part Name</t>
  </si>
  <si>
    <t>Beams on length</t>
  </si>
  <si>
    <t>Beams on depth</t>
  </si>
  <si>
    <t>Roof Purlins</t>
  </si>
  <si>
    <t>Side Purlins on length</t>
  </si>
  <si>
    <t>Side Purlins on depth</t>
  </si>
  <si>
    <t>Additional</t>
  </si>
  <si>
    <t>Tube</t>
  </si>
  <si>
    <t xml:space="preserve">Part# </t>
  </si>
  <si>
    <t>Gauge</t>
  </si>
  <si>
    <t>Cost / ft</t>
  </si>
  <si>
    <t>Supply (ft)</t>
  </si>
  <si>
    <t>1" x 1" x .095 wall x 21'</t>
  </si>
  <si>
    <t>0AST01019</t>
  </si>
  <si>
    <t>1" x 2" x .095 wall x 21'</t>
  </si>
  <si>
    <t>0AST01017</t>
  </si>
  <si>
    <t>1" X 3" x .125 wall x 21'</t>
  </si>
  <si>
    <t>0AST01012</t>
  </si>
  <si>
    <t>1" x 4" x .125 wall x 21'</t>
  </si>
  <si>
    <t>0AST01021</t>
  </si>
  <si>
    <t>2" x 2" x .120 wall x 20'</t>
  </si>
  <si>
    <t>0AST01008</t>
  </si>
  <si>
    <t>2" x 4" x .120 wall x 21'</t>
  </si>
  <si>
    <t>0AST01046</t>
  </si>
  <si>
    <t>2" x 4" x .120 wall x 24'</t>
  </si>
  <si>
    <t>0AST01055</t>
  </si>
  <si>
    <t>2" x 5" x .125 wall x 20'</t>
  </si>
  <si>
    <t>0AST01043</t>
  </si>
  <si>
    <t>2" x 5" x .125 wall x 24'</t>
  </si>
  <si>
    <t>0AST01056</t>
  </si>
  <si>
    <t>2" x 6" x .125 wall x 21'</t>
  </si>
  <si>
    <t>0AST01047</t>
  </si>
  <si>
    <t>2" x 6" x .125 wall x 24'</t>
  </si>
  <si>
    <t>0AST01058</t>
  </si>
  <si>
    <t>2" x 8" x .125 wall x 21'</t>
  </si>
  <si>
    <t>2" x 8" x .125 wall x 24'</t>
  </si>
  <si>
    <t>0AST01048</t>
  </si>
  <si>
    <t>0AST01031</t>
  </si>
  <si>
    <t>3" X 3" X .125" wall x 21'</t>
  </si>
  <si>
    <t>0AST01006</t>
  </si>
  <si>
    <t>3" X 3" X .250" wall x 20'</t>
  </si>
  <si>
    <t>0AST01049</t>
  </si>
  <si>
    <t>4" x 4" x .125 wall x 20'</t>
  </si>
  <si>
    <t>0AST01045</t>
  </si>
  <si>
    <t>4" x 4" x .125 wall x 21'</t>
  </si>
  <si>
    <t>0AST01057</t>
  </si>
  <si>
    <t>4" x 4" x .125 wall x 24'</t>
  </si>
  <si>
    <t>0AST01022</t>
  </si>
  <si>
    <t>4" x 4" x .250 wall x 20'</t>
  </si>
  <si>
    <t>0AST01042</t>
  </si>
  <si>
    <t>4" x 4" x .250 wall x 24'</t>
  </si>
  <si>
    <t>0AST01054</t>
  </si>
  <si>
    <t>4" x 6" x .250 wall x 20'</t>
  </si>
  <si>
    <t>0AST01065</t>
  </si>
  <si>
    <t>0AST01063</t>
  </si>
  <si>
    <t>6" x 6" x .250 wall x 24'</t>
  </si>
  <si>
    <t>0AST01053</t>
  </si>
  <si>
    <t>8" x 8" x .250 wall x 24'</t>
  </si>
  <si>
    <t>0AST01061</t>
  </si>
  <si>
    <t>7/8" DIA X .065 wall x 20'</t>
  </si>
  <si>
    <t>0ART00010</t>
  </si>
  <si>
    <t>1" DIA x .120 wall x 20'</t>
  </si>
  <si>
    <t>0ART00021</t>
  </si>
  <si>
    <t>1.25" DIA x .125 wall x 20'</t>
  </si>
  <si>
    <t>0ART00019</t>
  </si>
  <si>
    <t>2" DIA x .125 wall x 20'</t>
  </si>
  <si>
    <t>0ART00027</t>
  </si>
  <si>
    <t>.125"</t>
  </si>
  <si>
    <t>3" DIA x .120 wall x 20'</t>
  </si>
  <si>
    <t>0ART00052</t>
  </si>
  <si>
    <t>5" DIA x .125 wall x 20'</t>
  </si>
  <si>
    <t>0ART00073</t>
  </si>
  <si>
    <t>Per Supply</t>
  </si>
  <si>
    <t>Dimensions</t>
  </si>
  <si>
    <t>Canopies</t>
  </si>
  <si>
    <t>6x6</t>
  </si>
  <si>
    <t>PRICING</t>
  </si>
  <si>
    <t>Tubing</t>
  </si>
  <si>
    <t>Quantity</t>
  </si>
  <si>
    <t>Total</t>
  </si>
  <si>
    <t>Column &amp; Beam Thickness</t>
  </si>
  <si>
    <t>1x1</t>
  </si>
  <si>
    <t>1x2</t>
  </si>
  <si>
    <t>1x4</t>
  </si>
  <si>
    <t>2x2</t>
  </si>
  <si>
    <t>2x8</t>
  </si>
  <si>
    <t>4x6</t>
  </si>
  <si>
    <t>8x8</t>
  </si>
  <si>
    <t>1.5x2.5</t>
  </si>
  <si>
    <t>3x3</t>
  </si>
  <si>
    <t>Cost/supply</t>
  </si>
  <si>
    <t>Connector Blocks</t>
  </si>
  <si>
    <t>Tot Depth</t>
  </si>
  <si>
    <t>Cost Ea.</t>
  </si>
  <si>
    <t>FOR 2 x 6 x 1/8</t>
  </si>
  <si>
    <t>2"</t>
  </si>
  <si>
    <t>FOR 2 x 8 x 1/8</t>
  </si>
  <si>
    <t>FOR 2 x 8 x 8 x 1/8</t>
  </si>
  <si>
    <t>FOR 4" x 4" X 1/4</t>
  </si>
  <si>
    <t>0AZZ06361</t>
  </si>
  <si>
    <t>FOR 4 X 4 X 1/4 - Angled</t>
  </si>
  <si>
    <t>0AZZ06303</t>
  </si>
  <si>
    <t>3"</t>
  </si>
  <si>
    <t>FOR 6 x 6 x 1/4 - Cantilevered</t>
  </si>
  <si>
    <t>0AZZ06387</t>
  </si>
  <si>
    <t>6"</t>
  </si>
  <si>
    <t>FOR 6 x 6 x 1/4 Angled</t>
  </si>
  <si>
    <t>0AZZ06418</t>
  </si>
  <si>
    <t>4"</t>
  </si>
  <si>
    <t>FOR 6 X 6 X 1/4</t>
  </si>
  <si>
    <t>0AZZ06203</t>
  </si>
  <si>
    <t>End Caps</t>
  </si>
  <si>
    <t>2" x 4"</t>
  </si>
  <si>
    <t>0AZZ06302</t>
  </si>
  <si>
    <t>2" x 5"</t>
  </si>
  <si>
    <t>0AZZ06417</t>
  </si>
  <si>
    <t>2" x 6"</t>
  </si>
  <si>
    <t>0AZZ06321</t>
  </si>
  <si>
    <t>3" x 3"</t>
  </si>
  <si>
    <t>0AZZ06229</t>
  </si>
  <si>
    <t>4" x 4"</t>
  </si>
  <si>
    <t>0AZZ06170</t>
  </si>
  <si>
    <t>6" x 6"</t>
  </si>
  <si>
    <t>0AZZ06168</t>
  </si>
  <si>
    <t>Angle</t>
  </si>
  <si>
    <t>3/4" x 3/4" x .125 thk x 21'</t>
  </si>
  <si>
    <t>0AAB04029</t>
  </si>
  <si>
    <t>1" x 3/4" x .125 thk x 21'</t>
  </si>
  <si>
    <t>0AAB04032</t>
  </si>
  <si>
    <t>1" x 1" x .125 thk x 20'</t>
  </si>
  <si>
    <t>0AAB04010</t>
  </si>
  <si>
    <t>2-1/8" X 4-1/8" X 49-5/8"</t>
  </si>
  <si>
    <t>0AZZ06390</t>
  </si>
  <si>
    <t>2" X 2" X 3/16" thk x 20'</t>
  </si>
  <si>
    <t>0AAB04035</t>
  </si>
  <si>
    <t>Cedar Purlins (dressed &amp; sealed) - 5.5" x 1.5" @ $7/lin. Ft.</t>
  </si>
  <si>
    <t>July '18</t>
  </si>
  <si>
    <t>Cedar Wood - Board Length</t>
  </si>
  <si>
    <t>2x6 (1.5 x 5.5)  is only $2.89/ft</t>
  </si>
  <si>
    <t>Dressed &amp; Finished $8.5/lin.ft. up to 20ft.</t>
  </si>
  <si>
    <t>Jan. '19</t>
  </si>
  <si>
    <t>4x6 (3.5 x 5.5) is only $10.99/ft</t>
  </si>
  <si>
    <t>6x6 (5.5 x 5.5) is only $13.99/ft</t>
  </si>
  <si>
    <t>A&amp;M Specialty quoted me at approx $4/foot for finish and dressed. </t>
  </si>
  <si>
    <t xml:space="preserve">Cedarland – I talked with the owner, and he said the same… but $3/foot finish and dressing, </t>
  </si>
  <si>
    <t>Pressure Treated Wood - Board Length</t>
  </si>
  <si>
    <t>Sept. '18</t>
  </si>
  <si>
    <t>1x6 (3/4 x 5.5)  is $0.75 lin/ft.</t>
  </si>
  <si>
    <t>Spacelinx Privacy Fence</t>
  </si>
  <si>
    <t>¾ x 5-1/2 x 5’ long was $3.50 ea… Pressure treated Micro Pro Sienna</t>
  </si>
  <si>
    <t>Marine Plywood - 4' x 8' x 3/4" Sheet - $100</t>
  </si>
  <si>
    <t>Ipe Wood Slats</t>
  </si>
  <si>
    <t>1.5" x 5.5" ipe - 6 ft lengths, sanded one face not dressed on the ends  - $9.85 per foot</t>
  </si>
  <si>
    <t>May '19</t>
  </si>
  <si>
    <t>1.5" x 5.5" ipe - 6 ft lengths, sanded four faces not dressed on the ends  - $12.35 per foot</t>
  </si>
  <si>
    <t>Flat Bar</t>
  </si>
  <si>
    <t>3/16" x 3"  x 20' L (Bending)</t>
  </si>
  <si>
    <t>1/2" x 1" x 20' L</t>
  </si>
  <si>
    <t xml:space="preserve">1/4"  x 3" x 20' L </t>
  </si>
  <si>
    <t>1/8" x 1 1/2" x 20" L</t>
  </si>
  <si>
    <t>4"  x 12' L (6061 Grade)</t>
  </si>
  <si>
    <t>4" x 20' L (6061 Grade)</t>
  </si>
  <si>
    <t>OAZZ06217</t>
  </si>
  <si>
    <t>OAZZ06246</t>
  </si>
  <si>
    <t xml:space="preserve">ROOF ANGLE "B" - 1/8" X 6-1/16" X 49-5/8" LONG </t>
  </si>
  <si>
    <t>Angle Iron</t>
  </si>
  <si>
    <t>Flatbar</t>
  </si>
  <si>
    <t>Feet</t>
  </si>
  <si>
    <t>Hardware</t>
  </si>
  <si>
    <t>Engineering Stamp</t>
  </si>
  <si>
    <t>Hours</t>
  </si>
  <si>
    <t>Total Cost</t>
  </si>
  <si>
    <t>Sell</t>
  </si>
  <si>
    <t>6" x 6" x .250 wall x 21'</t>
  </si>
  <si>
    <t>1.5" x 2.5" x .120 wall x 21'</t>
  </si>
  <si>
    <t>Roof Purlin Thickness</t>
  </si>
  <si>
    <t>Privacy Panel Purlin Thickness</t>
  </si>
  <si>
    <t>Paint (&lt;9.5)</t>
  </si>
  <si>
    <t>Paint (&gt;18)</t>
  </si>
  <si>
    <t>Paint (9.5&lt;x&lt;18)</t>
  </si>
  <si>
    <t>Buffer</t>
  </si>
  <si>
    <t>Columns &amp; Beams Plan</t>
  </si>
  <si>
    <t>Electrical</t>
  </si>
  <si>
    <t>Vertical Columns</t>
  </si>
  <si>
    <t>Parallel to length</t>
  </si>
  <si>
    <t>Pergola</t>
  </si>
  <si>
    <t>Aluminum</t>
  </si>
  <si>
    <t>Horizontal</t>
  </si>
  <si>
    <t>Yes</t>
  </si>
  <si>
    <t>Parallel to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</si>
</sst>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sz val="12"/>
      <color rgb="FF6A6A6A"/>
      <name val="Verdana"/>
      <family val="2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b/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2" xfId="0" applyBorder="1" applyAlignment="1">
      <alignment horizontal="left"/>
    </xf>
    <xf numFmtId="0" fontId="0" fillId="3" borderId="1" xfId="0" applyFill="1" applyBorder="1"/>
    <xf numFmtId="0" fontId="1" fillId="0" borderId="0" xfId="0" applyFont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6" borderId="7" xfId="0" applyFill="1" applyBorder="1"/>
    <xf numFmtId="0" fontId="0" fillId="7" borderId="11" xfId="0" applyFill="1" applyBorder="1"/>
    <xf numFmtId="0" fontId="1" fillId="0" borderId="5" xfId="0" applyFont="1" applyBorder="1"/>
    <xf numFmtId="0" fontId="1" fillId="0" borderId="12" xfId="0" applyFont="1" applyBorder="1"/>
    <xf numFmtId="0" fontId="0" fillId="5" borderId="1" xfId="0" applyFill="1" applyBorder="1"/>
    <xf numFmtId="0" fontId="0" fillId="5" borderId="14" xfId="0" applyFill="1" applyBorder="1"/>
    <xf numFmtId="0" fontId="1" fillId="0" borderId="16" xfId="0" applyFont="1" applyBorder="1"/>
    <xf numFmtId="0" fontId="0" fillId="0" borderId="17" xfId="0" applyBorder="1"/>
    <xf numFmtId="0" fontId="0" fillId="0" borderId="18" xfId="0" applyBorder="1"/>
    <xf numFmtId="0" fontId="3" fillId="0" borderId="0" xfId="0" applyFont="1"/>
    <xf numFmtId="0" fontId="0" fillId="7" borderId="0" xfId="0" applyFill="1"/>
    <xf numFmtId="0" fontId="0" fillId="0" borderId="0" xfId="0" quotePrefix="1" applyAlignment="1">
      <alignment wrapText="1"/>
    </xf>
    <xf numFmtId="0" fontId="5" fillId="0" borderId="0" xfId="0" applyFont="1"/>
    <xf numFmtId="0" fontId="4" fillId="8" borderId="0" xfId="0" applyFont="1" applyFill="1"/>
    <xf numFmtId="0" fontId="3" fillId="8" borderId="0" xfId="0" applyFont="1" applyFill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3" xfId="0" applyBorder="1"/>
    <xf numFmtId="0" fontId="1" fillId="4" borderId="19" xfId="0" applyFont="1" applyFill="1" applyBorder="1"/>
    <xf numFmtId="0" fontId="0" fillId="0" borderId="23" xfId="0" applyBorder="1"/>
    <xf numFmtId="0" fontId="0" fillId="0" borderId="24" xfId="0" applyBorder="1"/>
    <xf numFmtId="0" fontId="0" fillId="7" borderId="24" xfId="0" applyFill="1" applyBorder="1"/>
    <xf numFmtId="0" fontId="0" fillId="4" borderId="25" xfId="0" applyFill="1" applyBorder="1"/>
    <xf numFmtId="0" fontId="0" fillId="5" borderId="26" xfId="0" applyFill="1" applyBorder="1"/>
    <xf numFmtId="0" fontId="0" fillId="8" borderId="27" xfId="0" applyFill="1" applyBorder="1"/>
    <xf numFmtId="0" fontId="1" fillId="4" borderId="1" xfId="0" applyFont="1" applyFill="1" applyBorder="1"/>
    <xf numFmtId="0" fontId="1" fillId="4" borderId="13" xfId="0" applyFont="1" applyFill="1" applyBorder="1"/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/>
    <xf numFmtId="164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1" fillId="9" borderId="28" xfId="0" applyFont="1" applyFill="1" applyBorder="1"/>
    <xf numFmtId="0" fontId="0" fillId="9" borderId="29" xfId="0" applyFill="1" applyBorder="1"/>
    <xf numFmtId="164" fontId="0" fillId="9" borderId="29" xfId="0" applyNumberFormat="1" applyFill="1" applyBorder="1" applyAlignment="1">
      <alignment horizontal="right"/>
    </xf>
    <xf numFmtId="2" fontId="0" fillId="9" borderId="29" xfId="0" applyNumberFormat="1" applyFill="1" applyBorder="1" applyAlignment="1">
      <alignment horizontal="right"/>
    </xf>
    <xf numFmtId="0" fontId="0" fillId="9" borderId="29" xfId="0" applyFill="1" applyBorder="1" applyAlignment="1">
      <alignment horizontal="right"/>
    </xf>
    <xf numFmtId="0" fontId="0" fillId="9" borderId="0" xfId="0" applyFill="1"/>
    <xf numFmtId="16" fontId="0" fillId="0" borderId="0" xfId="0" applyNumberFormat="1"/>
    <xf numFmtId="0" fontId="0" fillId="7" borderId="26" xfId="0" applyFill="1" applyBorder="1"/>
    <xf numFmtId="0" fontId="1" fillId="0" borderId="30" xfId="0" applyFont="1" applyBorder="1"/>
    <xf numFmtId="0" fontId="0" fillId="5" borderId="32" xfId="0" applyFill="1" applyBorder="1"/>
    <xf numFmtId="0" fontId="1" fillId="4" borderId="34" xfId="0" applyFont="1" applyFill="1" applyBorder="1"/>
    <xf numFmtId="0" fontId="1" fillId="4" borderId="33" xfId="0" applyFont="1" applyFill="1" applyBorder="1"/>
    <xf numFmtId="0" fontId="0" fillId="0" borderId="34" xfId="0" applyBorder="1"/>
    <xf numFmtId="0" fontId="5" fillId="0" borderId="31" xfId="0" applyFont="1" applyBorder="1"/>
    <xf numFmtId="0" fontId="7" fillId="0" borderId="0" xfId="0" applyFont="1"/>
    <xf numFmtId="0" fontId="1" fillId="0" borderId="28" xfId="0" applyFont="1" applyBorder="1"/>
    <xf numFmtId="164" fontId="0" fillId="0" borderId="29" xfId="0" applyNumberFormat="1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31" xfId="0" applyBorder="1" applyAlignment="1">
      <alignment horizontal="right"/>
    </xf>
    <xf numFmtId="0" fontId="8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4" fillId="0" borderId="0" xfId="0" applyFont="1"/>
    <xf numFmtId="9" fontId="0" fillId="0" borderId="6" xfId="0" applyNumberFormat="1" applyBorder="1"/>
    <xf numFmtId="0" fontId="1" fillId="0" borderId="35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" fillId="0" borderId="42" xfId="0" applyFont="1" applyBorder="1"/>
    <xf numFmtId="0" fontId="1" fillId="0" borderId="43" xfId="0" applyFont="1" applyBorder="1"/>
    <xf numFmtId="0" fontId="1" fillId="0" borderId="44" xfId="0" applyFont="1" applyBorder="1"/>
    <xf numFmtId="0" fontId="0" fillId="0" borderId="45" xfId="0" applyBorder="1"/>
    <xf numFmtId="0" fontId="0" fillId="7" borderId="21" xfId="0" applyFill="1" applyBorder="1"/>
    <xf numFmtId="0" fontId="0" fillId="7" borderId="45" xfId="0" applyFill="1" applyBorder="1"/>
    <xf numFmtId="0" fontId="0" fillId="0" borderId="48" xfId="0" applyBorder="1"/>
    <xf numFmtId="0" fontId="0" fillId="7" borderId="30" xfId="0" applyFill="1" applyBorder="1"/>
    <xf numFmtId="0" fontId="0" fillId="0" borderId="49" xfId="0" applyBorder="1"/>
    <xf numFmtId="43" fontId="0" fillId="8" borderId="10" xfId="1" applyFont="1" applyFill="1" applyBorder="1"/>
    <xf numFmtId="43" fontId="0" fillId="0" borderId="8" xfId="1" applyFont="1" applyBorder="1"/>
    <xf numFmtId="43" fontId="0" fillId="8" borderId="36" xfId="1" applyFont="1" applyFill="1" applyBorder="1"/>
    <xf numFmtId="43" fontId="0" fillId="0" borderId="32" xfId="1" applyFont="1" applyBorder="1"/>
    <xf numFmtId="43" fontId="0" fillId="0" borderId="46" xfId="1" applyFont="1" applyBorder="1"/>
    <xf numFmtId="43" fontId="0" fillId="0" borderId="1" xfId="1" applyFont="1" applyBorder="1"/>
    <xf numFmtId="43" fontId="0" fillId="0" borderId="13" xfId="1" applyFont="1" applyBorder="1"/>
    <xf numFmtId="43" fontId="0" fillId="0" borderId="41" xfId="1" applyFont="1" applyBorder="1"/>
    <xf numFmtId="43" fontId="0" fillId="0" borderId="47" xfId="1" applyFont="1" applyBorder="1"/>
    <xf numFmtId="43" fontId="1" fillId="0" borderId="43" xfId="1" applyFont="1" applyBorder="1"/>
    <xf numFmtId="43" fontId="1" fillId="0" borderId="44" xfId="1" applyFont="1" applyBorder="1"/>
    <xf numFmtId="43" fontId="0" fillId="5" borderId="13" xfId="1" applyFont="1" applyFill="1" applyBorder="1"/>
    <xf numFmtId="43" fontId="0" fillId="0" borderId="14" xfId="1" applyFont="1" applyBorder="1"/>
    <xf numFmtId="43" fontId="0" fillId="0" borderId="15" xfId="1" applyFont="1" applyBorder="1"/>
    <xf numFmtId="9" fontId="0" fillId="0" borderId="0" xfId="2" applyFont="1"/>
    <xf numFmtId="49" fontId="0" fillId="0" borderId="0" xfId="0" applyNumberFormat="1"/>
    <xf numFmtId="0" fontId="0" fillId="0" borderId="50" xfId="0" applyBorder="1"/>
    <xf numFmtId="43" fontId="0" fillId="5" borderId="11" xfId="1" applyFont="1" applyFill="1" applyBorder="1"/>
    <xf numFmtId="0" fontId="0" fillId="0" borderId="32" xfId="0" applyBorder="1"/>
    <xf numFmtId="43" fontId="0" fillId="0" borderId="13" xfId="1" applyFont="1" applyFill="1" applyBorder="1"/>
    <xf numFmtId="43" fontId="0" fillId="5" borderId="1" xfId="1" applyFont="1" applyFill="1" applyBorder="1"/>
    <xf numFmtId="43" fontId="0" fillId="5" borderId="14" xfId="1" applyFont="1" applyFill="1" applyBorder="1"/>
    <xf numFmtId="43" fontId="0" fillId="5" borderId="15" xfId="1" applyFont="1" applyFill="1" applyBorder="1"/>
    <xf numFmtId="43" fontId="0" fillId="5" borderId="0" xfId="1" applyFont="1" applyFill="1"/>
    <xf numFmtId="43" fontId="0" fillId="0" borderId="0" xfId="1" applyFont="1" applyFill="1" applyBorder="1"/>
    <xf numFmtId="0" fontId="1" fillId="0" borderId="4" xfId="0" applyFont="1" applyBorder="1"/>
    <xf numFmtId="0" fontId="4" fillId="0" borderId="6" xfId="0" applyFont="1" applyBorder="1"/>
    <xf numFmtId="0" fontId="1" fillId="5" borderId="5" xfId="0" applyFont="1" applyFill="1" applyBorder="1"/>
    <xf numFmtId="0" fontId="1" fillId="5" borderId="7" xfId="0" applyFont="1" applyFill="1" applyBorder="1"/>
    <xf numFmtId="43" fontId="1" fillId="0" borderId="0" xfId="1" applyFont="1" applyBorder="1"/>
    <xf numFmtId="0" fontId="0" fillId="0" borderId="14" xfId="0" applyBorder="1"/>
    <xf numFmtId="0" fontId="0" fillId="5" borderId="1" xfId="1" applyNumberFormat="1" applyFont="1" applyFill="1" applyBorder="1"/>
    <xf numFmtId="0" fontId="0" fillId="0" borderId="1" xfId="1" applyNumberFormat="1" applyFont="1" applyFill="1" applyBorder="1"/>
    <xf numFmtId="0" fontId="1" fillId="0" borderId="7" xfId="0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142875</xdr:colOff>
      <xdr:row>6</xdr:row>
      <xdr:rowOff>0</xdr:rowOff>
    </xdr:from>
    <xdr:to>
      <xdr:col>20</xdr:col>
      <xdr:colOff>342900</xdr:colOff>
      <xdr:row>7</xdr:row>
      <xdr:rowOff>96792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50C193-AECB-593A-F7D7-27D5709F19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786" t="26444" r="5556" b="28537"/>
        <a:stretch>
          <a:fillRect/>
        </a:stretch>
      </xdr:blipFill>
      <xdr:spPr>
        <a:xfrm>
          <a:off x="14925675" y="1162050"/>
          <a:ext cx="3248025" cy="296817"/>
        </a:xfrm>
        <a:prstGeom prst="rect">
          <a:avLst/>
        </a:prstGeom>
      </xdr:spPr>
    </xdr:pic>
    <xdr:clientData/>
  </xdr:twoCellAnchor>
  <xdr:oneCellAnchor>
    <xdr:from>
      <xdr:col>15</xdr:col>
      <xdr:colOff>152400</xdr:colOff>
      <xdr:row>10</xdr:row>
      <xdr:rowOff>19050</xdr:rowOff>
    </xdr:from>
    <xdr:ext cx="3248025" cy="116001"/>
    <xdr:pic>
      <xdr:nvPicPr>
        <xdr:cNvPr id="6" name="Picture 5">
          <a:extLst>
            <a:ext uri="{FF2B5EF4-FFF2-40B4-BE49-F238E27FC236}">
              <a16:creationId xmlns:a16="http://schemas.microsoft.com/office/drawing/2014/main" id="{6A3056BD-9CFA-460A-B656-91D55E0C5B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14" t="21300" r="542" b="26657"/>
        <a:stretch>
          <a:fillRect/>
        </a:stretch>
      </xdr:blipFill>
      <xdr:spPr>
        <a:xfrm>
          <a:off x="14935200" y="1571625"/>
          <a:ext cx="3248025" cy="116001"/>
        </a:xfrm>
        <a:prstGeom prst="rect">
          <a:avLst/>
        </a:prstGeom>
      </xdr:spPr>
    </xdr:pic>
    <xdr:clientData/>
  </xdr:oneCellAnchor>
  <xdr:twoCellAnchor editAs="oneCell">
    <xdr:from>
      <xdr:col>16</xdr:col>
      <xdr:colOff>304802</xdr:colOff>
      <xdr:row>16</xdr:row>
      <xdr:rowOff>47626</xdr:rowOff>
    </xdr:from>
    <xdr:to>
      <xdr:col>20</xdr:col>
      <xdr:colOff>304554</xdr:colOff>
      <xdr:row>20</xdr:row>
      <xdr:rowOff>114300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FC9BA1B-B794-5E4D-215C-A7188083CC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3215" t="2040"/>
        <a:stretch>
          <a:fillRect/>
        </a:stretch>
      </xdr:blipFill>
      <xdr:spPr>
        <a:xfrm>
          <a:off x="15697202" y="3162301"/>
          <a:ext cx="2438152" cy="828674"/>
        </a:xfrm>
        <a:prstGeom prst="rect">
          <a:avLst/>
        </a:prstGeom>
      </xdr:spPr>
    </xdr:pic>
    <xdr:clientData/>
  </xdr:twoCellAnchor>
  <xdr:twoCellAnchor editAs="oneCell">
    <xdr:from>
      <xdr:col>16</xdr:col>
      <xdr:colOff>126627</xdr:colOff>
      <xdr:row>22</xdr:row>
      <xdr:rowOff>85726</xdr:rowOff>
    </xdr:from>
    <xdr:to>
      <xdr:col>19</xdr:col>
      <xdr:colOff>428625</xdr:colOff>
      <xdr:row>25</xdr:row>
      <xdr:rowOff>188165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F00F6FB-7392-0E99-1C07-E5F794B69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19027" y="4352926"/>
          <a:ext cx="2130798" cy="683464"/>
        </a:xfrm>
        <a:prstGeom prst="rect">
          <a:avLst/>
        </a:prstGeom>
      </xdr:spPr>
    </xdr:pic>
    <xdr:clientData/>
  </xdr:twoCellAnchor>
  <xdr:twoCellAnchor editAs="oneCell">
    <xdr:from>
      <xdr:col>15</xdr:col>
      <xdr:colOff>395649</xdr:colOff>
      <xdr:row>31</xdr:row>
      <xdr:rowOff>66675</xdr:rowOff>
    </xdr:from>
    <xdr:to>
      <xdr:col>16</xdr:col>
      <xdr:colOff>52831</xdr:colOff>
      <xdr:row>48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823E7E6-3C94-0E29-46B7-ECADEE6F8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flipH="1">
          <a:off x="15902349" y="6076950"/>
          <a:ext cx="266782" cy="3257550"/>
        </a:xfrm>
        <a:prstGeom prst="rect">
          <a:avLst/>
        </a:prstGeom>
      </xdr:spPr>
    </xdr:pic>
    <xdr:clientData/>
  </xdr:twoCellAnchor>
  <xdr:oneCellAnchor>
    <xdr:from>
      <xdr:col>18</xdr:col>
      <xdr:colOff>253430</xdr:colOff>
      <xdr:row>31</xdr:row>
      <xdr:rowOff>85725</xdr:rowOff>
    </xdr:from>
    <xdr:ext cx="191300" cy="3219450"/>
    <xdr:pic>
      <xdr:nvPicPr>
        <xdr:cNvPr id="12" name="Picture 11">
          <a:extLst>
            <a:ext uri="{FF2B5EF4-FFF2-40B4-BE49-F238E27FC236}">
              <a16:creationId xmlns:a16="http://schemas.microsoft.com/office/drawing/2014/main" id="{80461992-4444-4D02-B369-3B9C06F80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 flipH="1">
          <a:off x="17627030" y="6096000"/>
          <a:ext cx="191300" cy="32194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41</xdr:row>
          <xdr:rowOff>57150</xdr:rowOff>
        </xdr:from>
        <xdr:to>
          <xdr:col>5</xdr:col>
          <xdr:colOff>904875</xdr:colOff>
          <xdr:row>42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Calculate Yield</a:t>
              </a:r>
            </a:p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10</xdr:row>
          <xdr:rowOff>161925</xdr:rowOff>
        </xdr:from>
        <xdr:to>
          <xdr:col>7</xdr:col>
          <xdr:colOff>1543050</xdr:colOff>
          <xdr:row>11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No Privacy Panels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7E4-576B-4B3E-9DFC-D9D6E288F6B4}">
  <sheetPr codeName="Sheet1"/>
  <dimension ref="A1:O32"/>
  <sheetViews>
    <sheetView workbookViewId="0">
      <selection activeCell="D28" sqref="D28"/>
    </sheetView>
  </sheetViews>
  <sheetFormatPr defaultRowHeight="15" x14ac:dyDescent="0.25"/>
  <cols>
    <col min="2" max="2" width="24" customWidth="1"/>
    <col min="3" max="3" width="37.7109375" customWidth="1"/>
    <col min="5" max="5" width="14.28515625" customWidth="1"/>
    <col min="6" max="6" width="18.42578125" customWidth="1"/>
    <col min="7" max="7" width="15.85546875" bestFit="1" customWidth="1"/>
    <col min="13" max="13" width="13.85546875" customWidth="1"/>
  </cols>
  <sheetData>
    <row r="1" spans="1:14" x14ac:dyDescent="0.25">
      <c r="E1" t="s">
        <v>46</v>
      </c>
      <c r="M1" t="s">
        <v>50</v>
      </c>
    </row>
    <row r="3" spans="1:14" x14ac:dyDescent="0.25">
      <c r="B3" t="s">
        <v>29</v>
      </c>
    </row>
    <row r="4" spans="1:14" x14ac:dyDescent="0.25">
      <c r="B4" s="1"/>
      <c r="C4" s="2" t="s">
        <v>0</v>
      </c>
      <c r="D4" s="3" t="s">
        <v>2</v>
      </c>
      <c r="E4" s="3" t="s">
        <v>3</v>
      </c>
      <c r="F4" s="3" t="s">
        <v>20</v>
      </c>
      <c r="G4" s="2" t="s">
        <v>1</v>
      </c>
      <c r="H4" s="3" t="s">
        <v>2</v>
      </c>
      <c r="I4" s="3" t="s">
        <v>3</v>
      </c>
      <c r="J4" s="3" t="s">
        <v>20</v>
      </c>
      <c r="K4" s="1"/>
      <c r="L4" s="1"/>
      <c r="M4" s="1"/>
    </row>
    <row r="5" spans="1:14" x14ac:dyDescent="0.25">
      <c r="B5" s="1"/>
      <c r="C5" s="2" t="s">
        <v>34</v>
      </c>
      <c r="D5" s="3" t="s">
        <v>35</v>
      </c>
      <c r="E5" s="3" t="s">
        <v>3</v>
      </c>
      <c r="F5" s="3" t="s">
        <v>20</v>
      </c>
      <c r="G5" s="1"/>
      <c r="H5" s="1"/>
      <c r="I5" s="1"/>
      <c r="J5" s="1"/>
      <c r="K5" s="1"/>
      <c r="L5" s="1"/>
      <c r="M5" s="1"/>
    </row>
    <row r="6" spans="1:14" x14ac:dyDescent="0.25">
      <c r="B6" s="5"/>
      <c r="C6" s="1" t="s">
        <v>4</v>
      </c>
      <c r="D6" s="4" t="s">
        <v>5</v>
      </c>
      <c r="E6" s="1"/>
      <c r="F6" s="1"/>
      <c r="G6" s="1"/>
      <c r="H6" s="1"/>
      <c r="I6" s="1"/>
      <c r="J6" s="1"/>
      <c r="K6" s="1"/>
      <c r="L6" s="1"/>
      <c r="M6" s="1"/>
    </row>
    <row r="7" spans="1:14" x14ac:dyDescent="0.25">
      <c r="B7" s="5"/>
      <c r="C7" s="1" t="s">
        <v>6</v>
      </c>
      <c r="D7" s="4" t="s">
        <v>7</v>
      </c>
      <c r="E7" s="1"/>
      <c r="F7" s="1"/>
      <c r="G7" s="1"/>
      <c r="H7" s="1"/>
      <c r="I7" s="1"/>
      <c r="J7" s="1"/>
      <c r="K7" s="1"/>
      <c r="L7" s="1"/>
      <c r="M7" s="1"/>
    </row>
    <row r="8" spans="1:14" x14ac:dyDescent="0.25">
      <c r="A8" t="s">
        <v>47</v>
      </c>
      <c r="B8" s="5"/>
      <c r="C8" s="1" t="s">
        <v>21</v>
      </c>
      <c r="D8" s="4"/>
      <c r="E8" s="1"/>
      <c r="F8" s="1"/>
      <c r="G8" s="1"/>
      <c r="H8" s="1"/>
      <c r="I8" s="1"/>
      <c r="J8" s="1"/>
      <c r="K8" s="1"/>
      <c r="L8" s="1"/>
      <c r="M8" s="1"/>
      <c r="N8" t="s">
        <v>48</v>
      </c>
    </row>
    <row r="9" spans="1:14" x14ac:dyDescent="0.25">
      <c r="B9" s="5"/>
      <c r="C9" s="1" t="s">
        <v>22</v>
      </c>
      <c r="D9" s="4" t="s">
        <v>23</v>
      </c>
      <c r="E9" s="1" t="s">
        <v>24</v>
      </c>
      <c r="F9" s="3" t="s">
        <v>2</v>
      </c>
      <c r="G9" s="3" t="s">
        <v>3</v>
      </c>
      <c r="H9" s="3" t="s">
        <v>20</v>
      </c>
      <c r="I9" s="1"/>
      <c r="J9" s="3" t="s">
        <v>25</v>
      </c>
      <c r="K9" s="3" t="s">
        <v>2</v>
      </c>
      <c r="L9" s="3" t="s">
        <v>3</v>
      </c>
      <c r="M9" s="3" t="s">
        <v>20</v>
      </c>
      <c r="N9" s="6" t="s">
        <v>49</v>
      </c>
    </row>
    <row r="10" spans="1:14" x14ac:dyDescent="0.25">
      <c r="A10" t="s">
        <v>48</v>
      </c>
      <c r="B10" s="7" t="s">
        <v>52</v>
      </c>
      <c r="C10" s="7" t="s">
        <v>38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 x14ac:dyDescent="0.25">
      <c r="B11" s="1"/>
      <c r="C11" s="1" t="s">
        <v>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t="s">
        <v>51</v>
      </c>
    </row>
    <row r="12" spans="1:14" x14ac:dyDescent="0.25">
      <c r="B12" s="1"/>
      <c r="C12" s="1" t="s">
        <v>9</v>
      </c>
      <c r="D12" s="4" t="s">
        <v>10</v>
      </c>
      <c r="E12" s="4" t="s">
        <v>11</v>
      </c>
      <c r="F12" s="4" t="s">
        <v>12</v>
      </c>
      <c r="G12" s="4" t="s">
        <v>13</v>
      </c>
      <c r="H12" s="1"/>
      <c r="I12" s="1"/>
      <c r="J12" s="1"/>
      <c r="K12" s="1"/>
      <c r="L12" s="1"/>
      <c r="M12" s="1"/>
    </row>
    <row r="13" spans="1:14" x14ac:dyDescent="0.25">
      <c r="B13" s="1"/>
      <c r="C13" s="1" t="s">
        <v>14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4" x14ac:dyDescent="0.25">
      <c r="B14" s="1"/>
      <c r="C14" s="1" t="s">
        <v>15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4" x14ac:dyDescent="0.25">
      <c r="B16" s="1"/>
      <c r="C16" s="1" t="s">
        <v>16</v>
      </c>
      <c r="D16" s="5" t="s">
        <v>17</v>
      </c>
      <c r="E16" s="5" t="s">
        <v>18</v>
      </c>
      <c r="F16" s="1"/>
      <c r="G16" s="1"/>
      <c r="H16" s="1"/>
      <c r="I16" s="1"/>
      <c r="J16" s="1"/>
      <c r="K16" s="1"/>
      <c r="L16" s="1"/>
      <c r="M16" s="1"/>
    </row>
    <row r="17" spans="2:15" x14ac:dyDescent="0.25">
      <c r="B17" s="1"/>
      <c r="C17" s="1" t="s">
        <v>19</v>
      </c>
      <c r="D17" s="3" t="s">
        <v>45</v>
      </c>
      <c r="E17" s="3" t="s">
        <v>3</v>
      </c>
      <c r="F17" s="3" t="s">
        <v>20</v>
      </c>
      <c r="G17" s="1"/>
      <c r="H17" s="1"/>
      <c r="I17" s="1"/>
      <c r="J17" s="1"/>
      <c r="K17" s="1"/>
      <c r="L17" s="1"/>
      <c r="M17" s="1"/>
      <c r="O17" t="s">
        <v>53</v>
      </c>
    </row>
    <row r="18" spans="2:15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2:15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2:15" x14ac:dyDescent="0.25">
      <c r="B20" s="5"/>
      <c r="C20" s="1" t="s">
        <v>26</v>
      </c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2:15" x14ac:dyDescent="0.25">
      <c r="B21" s="1"/>
      <c r="C21" s="1" t="s">
        <v>27</v>
      </c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2:15" x14ac:dyDescent="0.25">
      <c r="B22" s="1"/>
      <c r="C22" s="1" t="s">
        <v>28</v>
      </c>
      <c r="D22" s="3" t="s">
        <v>45</v>
      </c>
      <c r="E22" s="3" t="s">
        <v>3</v>
      </c>
      <c r="F22" s="3" t="s">
        <v>20</v>
      </c>
      <c r="G22" s="1"/>
      <c r="H22" s="1"/>
      <c r="I22" s="1"/>
      <c r="J22" s="1"/>
      <c r="K22" s="1"/>
      <c r="L22" s="1"/>
      <c r="M22" s="1"/>
    </row>
    <row r="24" spans="2:15" x14ac:dyDescent="0.25">
      <c r="B24" t="s">
        <v>30</v>
      </c>
      <c r="C24" t="s">
        <v>36</v>
      </c>
      <c r="D24" t="s">
        <v>24</v>
      </c>
      <c r="E24" t="s">
        <v>44</v>
      </c>
      <c r="M24" t="s">
        <v>42</v>
      </c>
    </row>
    <row r="25" spans="2:15" x14ac:dyDescent="0.25">
      <c r="B25" s="1" t="s">
        <v>33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2:15" x14ac:dyDescent="0.25">
      <c r="B26" s="1" t="s">
        <v>31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2:15" x14ac:dyDescent="0.25">
      <c r="B27" s="1" t="s">
        <v>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2:15" x14ac:dyDescent="0.25">
      <c r="B28" s="1" t="s">
        <v>37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2:15" x14ac:dyDescent="0.25">
      <c r="B29" s="1" t="s">
        <v>39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5" x14ac:dyDescent="0.25">
      <c r="B30" s="1" t="s">
        <v>40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5" x14ac:dyDescent="0.25">
      <c r="B31" s="1" t="s">
        <v>41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2:15" x14ac:dyDescent="0.25">
      <c r="M32" t="s">
        <v>43</v>
      </c>
    </row>
  </sheetData>
  <pageMargins left="0.7" right="0.7" top="0.75" bottom="0.75" header="0.3" footer="0.3"/>
  <pageSetup paperSize="3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C7A7-6078-4158-B5F5-992ADA55103D}">
  <sheetPr codeName="Sheet3">
    <pageSetUpPr fitToPage="1"/>
  </sheetPr>
  <dimension ref="B1:Z95"/>
  <sheetViews>
    <sheetView tabSelected="1" zoomScaleNormal="100" workbookViewId="0">
      <selection activeCell="K10" sqref="K10"/>
    </sheetView>
  </sheetViews>
  <sheetFormatPr defaultRowHeight="15" x14ac:dyDescent="0.25"/>
  <cols>
    <col min="2" max="2" width="25.5703125" customWidth="1"/>
    <col min="3" max="3" width="29.5703125" customWidth="1"/>
    <col min="4" max="4" width="12.5703125" customWidth="1"/>
    <col min="5" max="5" width="15.140625" customWidth="1"/>
    <col min="6" max="6" width="14.85546875" customWidth="1"/>
    <col min="8" max="8" width="27.5703125" customWidth="1"/>
    <col min="9" max="9" width="19.85546875" customWidth="1"/>
    <col min="10" max="10" width="11.85546875" customWidth="1"/>
    <col min="11" max="11" width="15.28515625" customWidth="1"/>
    <col min="12" max="13" width="10.85546875" customWidth="1"/>
    <col min="15" max="15" width="11.140625" customWidth="1"/>
    <col min="18" max="18" width="9.140625" customWidth="1"/>
  </cols>
  <sheetData>
    <row r="1" spans="2:26" x14ac:dyDescent="0.25">
      <c r="Z1">
        <v>17</v>
      </c>
    </row>
    <row r="2" spans="2:26" ht="15.75" thickBot="1" x14ac:dyDescent="0.3">
      <c r="Z2">
        <v>0</v>
      </c>
    </row>
    <row r="3" spans="2:26" ht="15.75" thickBot="1" x14ac:dyDescent="0.3">
      <c r="B3" s="62" t="s">
        <v>56</v>
      </c>
      <c r="C3" s="22" t="s">
        <v>86</v>
      </c>
      <c r="D3" s="22" t="s">
        <v>87</v>
      </c>
      <c r="E3" s="19" t="s">
        <v>88</v>
      </c>
      <c r="J3" s="40" t="s">
        <v>79</v>
      </c>
      <c r="O3" s="36" t="s">
        <v>94</v>
      </c>
      <c r="P3" s="14"/>
      <c r="Q3" s="14"/>
      <c r="R3" s="14"/>
      <c r="S3" s="14"/>
      <c r="T3" s="14"/>
      <c r="U3" s="10"/>
      <c r="Z3">
        <v>5</v>
      </c>
    </row>
    <row r="4" spans="2:26" ht="15.75" thickTop="1" x14ac:dyDescent="0.25">
      <c r="B4" s="63" t="s">
        <v>83</v>
      </c>
      <c r="C4" s="111">
        <v>9</v>
      </c>
      <c r="D4" s="111">
        <v>108</v>
      </c>
      <c r="E4" s="102">
        <v>2743.2000000000003</v>
      </c>
      <c r="J4" s="41" t="s">
        <v>76</v>
      </c>
      <c r="O4" s="33"/>
      <c r="P4" s="32"/>
      <c r="Q4" s="32"/>
      <c r="R4" s="32"/>
      <c r="S4" s="32"/>
      <c r="T4" s="32"/>
      <c r="U4" s="34"/>
    </row>
    <row r="5" spans="2:26" x14ac:dyDescent="0.25">
      <c r="B5" s="23" t="s">
        <v>84</v>
      </c>
      <c r="C5" s="111">
        <v>9</v>
      </c>
      <c r="D5" s="111">
        <v>108</v>
      </c>
      <c r="E5" s="102">
        <v>2743.2000000000003</v>
      </c>
      <c r="J5" s="58" t="s">
        <v>77</v>
      </c>
      <c r="O5" s="18" t="s">
        <v>98</v>
      </c>
      <c r="U5" s="12"/>
    </row>
    <row r="6" spans="2:26" ht="15.75" thickBot="1" x14ac:dyDescent="0.3">
      <c r="B6" s="24" t="s">
        <v>85</v>
      </c>
      <c r="C6" s="112">
        <v>9</v>
      </c>
      <c r="D6" s="112">
        <v>108</v>
      </c>
      <c r="E6" s="113">
        <v>2743.2000000000003</v>
      </c>
      <c r="J6" s="42" t="s">
        <v>78</v>
      </c>
      <c r="O6" s="11"/>
      <c r="U6" s="12"/>
    </row>
    <row r="7" spans="2:26" ht="15.75" thickBot="1" x14ac:dyDescent="0.3">
      <c r="C7" s="115"/>
      <c r="O7" s="11" t="s">
        <v>106</v>
      </c>
      <c r="U7" s="12"/>
    </row>
    <row r="8" spans="2:26" ht="15.75" thickBot="1" x14ac:dyDescent="0.3">
      <c r="B8" s="62" t="s">
        <v>57</v>
      </c>
      <c r="C8" s="39" t="s">
        <v>295</v>
      </c>
      <c r="D8" s="25" t="s">
        <v>92</v>
      </c>
      <c r="E8" s="29" t="s">
        <v>91</v>
      </c>
      <c r="F8" s="30" t="str">
        <f>IF(OR(C4&gt;=14,C5&gt;=14,C6&gt;=14),"Grand Pergola","Pergola")</f>
        <v>Pergola</v>
      </c>
      <c r="O8" s="11"/>
      <c r="U8" s="12"/>
    </row>
    <row r="9" spans="2:26" ht="16.5" thickTop="1" thickBot="1" x14ac:dyDescent="0.3">
      <c r="B9" s="16" t="s">
        <v>183</v>
      </c>
      <c r="C9" s="13" t="str">
        <f>IF(C8="Pergola","4x4",IF(C8="Grand Pergola","6x6",""))</f>
        <v>4x4</v>
      </c>
      <c r="O9" s="11"/>
      <c r="P9" t="s">
        <v>95</v>
      </c>
      <c r="U9" s="12"/>
    </row>
    <row r="10" spans="2:26" ht="15.75" thickBot="1" x14ac:dyDescent="0.3">
      <c r="O10" s="11"/>
      <c r="U10" s="12"/>
    </row>
    <row r="11" spans="2:26" ht="15.75" thickBot="1" x14ac:dyDescent="0.3">
      <c r="B11" s="62" t="s">
        <v>58</v>
      </c>
      <c r="C11" s="17" t="s">
        <v>298</v>
      </c>
      <c r="O11" s="11" t="s">
        <v>107</v>
      </c>
      <c r="U11" s="12"/>
    </row>
    <row r="12" spans="2:26" ht="16.5" thickTop="1" thickBot="1" x14ac:dyDescent="0.3">
      <c r="O12" s="11"/>
      <c r="U12" s="12"/>
    </row>
    <row r="13" spans="2:26" ht="15.75" thickBot="1" x14ac:dyDescent="0.3">
      <c r="B13" s="62" t="s">
        <v>55</v>
      </c>
      <c r="C13" s="37"/>
      <c r="D13" s="37"/>
      <c r="E13" s="37"/>
      <c r="F13" s="38"/>
      <c r="H13" s="62" t="s">
        <v>70</v>
      </c>
      <c r="I13" s="37"/>
      <c r="J13" s="37"/>
      <c r="K13" s="37"/>
      <c r="L13" s="38"/>
      <c r="O13" s="11"/>
      <c r="U13" s="12"/>
    </row>
    <row r="14" spans="2:26" ht="15.75" thickTop="1" x14ac:dyDescent="0.25">
      <c r="B14" s="11" t="s">
        <v>59</v>
      </c>
      <c r="C14" s="26" t="s">
        <v>296</v>
      </c>
      <c r="F14" s="12"/>
      <c r="H14" s="11" t="s">
        <v>59</v>
      </c>
      <c r="I14" s="26" t="s">
        <v>296</v>
      </c>
      <c r="L14" s="12"/>
      <c r="O14" s="35"/>
      <c r="P14" s="14"/>
      <c r="Q14" s="14"/>
      <c r="R14" s="14"/>
      <c r="S14" s="14"/>
      <c r="T14" s="14"/>
      <c r="U14" s="10"/>
    </row>
    <row r="15" spans="2:26" x14ac:dyDescent="0.25">
      <c r="B15" s="11" t="s">
        <v>60</v>
      </c>
      <c r="C15" s="26" t="s">
        <v>297</v>
      </c>
      <c r="F15" s="12"/>
      <c r="H15" s="11" t="s">
        <v>60</v>
      </c>
      <c r="I15" s="26" t="s">
        <v>297</v>
      </c>
      <c r="L15" s="12"/>
      <c r="O15" s="18" t="s">
        <v>99</v>
      </c>
      <c r="U15" s="12"/>
    </row>
    <row r="16" spans="2:26" x14ac:dyDescent="0.25">
      <c r="B16" s="11" t="s">
        <v>61</v>
      </c>
      <c r="C16" s="26" t="s">
        <v>65</v>
      </c>
      <c r="D16" s="25" t="str">
        <f>IF(C16="","",
   IF(COUNTIF(_xlfn.ANCHORARRAY(F16),C16)=0,"INVALID","&lt;------------")
)</f>
        <v>&lt;------------</v>
      </c>
      <c r="E16" s="8" t="s">
        <v>69</v>
      </c>
      <c r="F16" s="12" t="str" cm="1">
        <f t="array" ref="F16:F20">IF(OR($C$9="",$C$15="",$C$14=""),
   "",
   _xlfn.LET(
      _xlpm.material, TRIM($C$14),
      _xlpm.custom, TRIM($C$17),
      _xlpm.beam, VALUE(LEFT($C$9,FIND("x",$C$9)-1)),
      _xlpm.isSixSix, EXACT($C$9,"6x6"),
      _xlpm.rawList, IF(UPPER(_xlpm.material)="CEDAR",
                   Settings!$A$2:$A$5,
                   IF(UPPER(TRIM($C$15))="VERTICAL",
                      _xlfn._xlws.FILTER(Settings!$A$2:$A$5, Settings!$C$2:$C$5 &lt;= _xlpm.beam),
                      _xlfn._xlws.FILTER(Settings!$A$2:$A$5, Settings!$B$2:$B$5 &lt;= _xlpm.beam)
                   )
                ),
      _xlpm.baseList, IF(_xlpm.isSixSix,
                   _xlfn._xlws.FILTER(_xlpm.rawList, _xlpm.rawList&lt;&gt;"1x3"),
                   _xlpm.rawList
                ),
      _xlpm.cWidth, IF(_xlpm.custom&lt;&gt;"", VALUE(LEFT(_xlpm.custom,FIND("x",_xlpm.custom)-1)), ""),
      _xlpm.cDepth, IF(_xlpm.custom&lt;&gt;"", VALUE(MID(_xlpm.custom,FIND("x",_xlpm.custom)+1,99)), ""),
      _xlpm.addCustom, IF(_xlpm.custom&lt;&gt;"",
                    IF(UPPER(_xlpm.material)="CEDAR",
                       _xlpm.custom,
                       IF(UPPER(TRIM($C$15))="VERTICAL",
                          IF(_xlpm.cDepth &lt;= _xlpm.beam, _xlpm.custom, ""),
                          IF(_xlpm.cWidth &lt;= _xlpm.beam, _xlpm.custom, "")
                       )
                    ),
                    ""
                 ),
      _xlfn.VSTACK(_xlpm.baseList, _xlpm.addCustom)
   )
)</f>
        <v>1x3</v>
      </c>
      <c r="H16" s="11" t="s">
        <v>61</v>
      </c>
      <c r="I16" s="26" t="s">
        <v>64</v>
      </c>
      <c r="J16" s="25" t="str">
        <f>IF(I16="","",
   IF(COUNTIF(_xlfn.ANCHORARRAY(L16),I16)=0,"INVALID","&lt;------------")
)</f>
        <v>&lt;------------</v>
      </c>
      <c r="K16" s="8" t="s">
        <v>69</v>
      </c>
      <c r="L16" s="12" t="str" cm="1">
        <f t="array" ref="L16:L20">IF($I$14="Cedar",
   _xlfn.LET(
      _xlpm.custom, TRIM($I$17),
      _xlpm.baseList, Settings!$A$2:$A$5,
      _xlpm.addCustom, IF(_xlpm.custom&lt;&gt;"", _xlpm.custom, ""),
      _xlfn.VSTACK(_xlpm.baseList, _xlpm.addCustom)
   ),
   IF(OR($C$9="", $I$15=""), "",
      _xlfn.LET(
         _xlpm.beam, VALUE(LEFT($C$9,FIND("x",$C$9)-1)),
         _xlpm.isSixSix, EXACT($C$9,"6x6"),
         _xlpm.sizes, Settings!$A$2:$A$5,
         _xlpm.rawFiltered,
            IF(UPPER(TRIM($I$15))="HORIZONTAL",
               _xlfn._xlws.FILTER(_xlpm.sizes, _xlfn.BYROW(_xlpm.sizes, _xlfn.LAMBDA(_xlpm.s, MIN(VALUE(LEFT(_xlpm.s,FIND("x",_xlpm.s)-1)), VALUE(MID(_xlpm.s,FIND("x",_xlpm.s)+1,99))) &lt;= _xlpm.beam))),
               _xlfn._xlws.FILTER(_xlpm.sizes, _xlfn.BYROW(_xlpm.sizes, _xlfn.LAMBDA(_xlpm.s, MAX(VALUE(LEFT(_xlpm.s,FIND("x",_xlpm.s)-1)), VALUE(MID(_xlpm.s,FIND("x",_xlpm.s)+1,99))) &lt;= _xlpm.beam)))
            ),
         _xlpm.filteredSizes, IF(_xlpm.isSixSix,
                           _xlfn._xlws.FILTER(_xlpm.rawFiltered, _xlpm.rawFiltered&lt;&gt;"1x3"),
                           _xlpm.rawFiltered
                        ),
         _xlpm.custom, TRIM($I$17),
         _xlpm.cWidth, IF(_xlpm.custom&lt;&gt;"", VALUE(LEFT(_xlpm.custom,FIND("x",_xlpm.custom)-1)), ""),
         _xlpm.cDepth, IF(_xlpm.custom&lt;&gt;"", VALUE(MID(_xlpm.custom,FIND("x",_xlpm.custom)+1,99)), ""),
         _xlpm.addCustom, IF(_xlpm.custom&lt;&gt;"",
                       IF(UPPER(TRIM($I$15))="HORIZONTAL",
                          IF(MIN(_xlpm.cWidth,_xlpm.cDepth) &lt;= _xlpm.beam, _xlpm.custom, ""),
                          IF(MAX(_xlpm.cWidth,_xlpm.cDepth) &lt;= _xlpm.beam, _xlpm.custom, "")
                       ),
                       ""
                    ),
         _xlfn.VSTACK(_xlpm.filteredSizes, _xlpm.addCustom)
      )
   )
)</f>
        <v>1x3</v>
      </c>
      <c r="O16" s="11"/>
      <c r="U16" s="12"/>
    </row>
    <row r="17" spans="2:21" x14ac:dyDescent="0.25">
      <c r="B17" s="11" t="s">
        <v>93</v>
      </c>
      <c r="C17" s="9"/>
      <c r="D17" s="28" t="str">
        <f>IF($C$17="","(leave blank if not needed)","(Custom Size Selected)")</f>
        <v>(leave blank if not needed)</v>
      </c>
      <c r="F17" s="12" t="str">
        <v>2x4</v>
      </c>
      <c r="H17" s="11" t="s">
        <v>93</v>
      </c>
      <c r="I17" s="9"/>
      <c r="J17" s="28" t="str">
        <f>IF($I$17="","(leave blank if not needed)","(Custom Size Selected)")</f>
        <v>(leave blank if not needed)</v>
      </c>
      <c r="L17" s="12" t="str">
        <v>2x4</v>
      </c>
      <c r="O17" s="11" t="s">
        <v>96</v>
      </c>
      <c r="U17" s="12"/>
    </row>
    <row r="18" spans="2:21" x14ac:dyDescent="0.25">
      <c r="B18" s="11" t="s">
        <v>62</v>
      </c>
      <c r="C18" s="26" t="s">
        <v>294</v>
      </c>
      <c r="F18" s="12" t="str">
        <v>2x5</v>
      </c>
      <c r="H18" s="11" t="s">
        <v>62</v>
      </c>
      <c r="I18" s="26" t="s">
        <v>299</v>
      </c>
      <c r="L18" s="12" t="str">
        <v>2x5</v>
      </c>
      <c r="O18" s="11"/>
      <c r="U18" s="12"/>
    </row>
    <row r="19" spans="2:21" x14ac:dyDescent="0.25">
      <c r="B19" s="11"/>
      <c r="F19" s="12" t="str">
        <v>2x6</v>
      </c>
      <c r="H19" s="11" t="s">
        <v>72</v>
      </c>
      <c r="I19" s="26">
        <v>0</v>
      </c>
      <c r="L19" s="12" t="str">
        <v>2x6</v>
      </c>
      <c r="O19" s="11"/>
      <c r="P19" t="s">
        <v>104</v>
      </c>
      <c r="U19" s="12"/>
    </row>
    <row r="20" spans="2:21" x14ac:dyDescent="0.25">
      <c r="B20" s="11"/>
      <c r="F20" s="12" t="str">
        <v/>
      </c>
      <c r="H20" s="11" t="s">
        <v>73</v>
      </c>
      <c r="I20" s="26">
        <v>0</v>
      </c>
      <c r="L20" s="12" t="str">
        <v/>
      </c>
      <c r="O20" s="11"/>
      <c r="U20" s="12"/>
    </row>
    <row r="21" spans="2:21" x14ac:dyDescent="0.25">
      <c r="B21" s="11"/>
      <c r="F21" s="12"/>
      <c r="H21" s="11" t="s">
        <v>82</v>
      </c>
      <c r="I21" s="9">
        <v>4</v>
      </c>
      <c r="L21" s="12"/>
      <c r="O21" s="11"/>
      <c r="U21" s="12"/>
    </row>
    <row r="22" spans="2:21" x14ac:dyDescent="0.25">
      <c r="B22" s="11"/>
      <c r="F22" s="12"/>
      <c r="H22" s="11" t="s">
        <v>90</v>
      </c>
      <c r="I22" s="9">
        <v>4</v>
      </c>
      <c r="L22" s="12"/>
      <c r="O22" s="11"/>
      <c r="Q22" t="s">
        <v>100</v>
      </c>
      <c r="U22" s="12"/>
    </row>
    <row r="23" spans="2:21" x14ac:dyDescent="0.25">
      <c r="B23" s="11" t="s">
        <v>81</v>
      </c>
      <c r="C23" s="114">
        <v>68</v>
      </c>
      <c r="F23" s="12"/>
      <c r="H23" s="11" t="s">
        <v>81</v>
      </c>
      <c r="I23" s="9">
        <v>60</v>
      </c>
      <c r="L23" s="12"/>
      <c r="O23" s="11"/>
      <c r="U23" s="12"/>
    </row>
    <row r="24" spans="2:21" x14ac:dyDescent="0.25">
      <c r="B24" s="11" t="s">
        <v>89</v>
      </c>
      <c r="C24" s="114">
        <v>2</v>
      </c>
      <c r="F24" s="12"/>
      <c r="H24" s="11" t="s">
        <v>89</v>
      </c>
      <c r="I24" s="9">
        <v>2</v>
      </c>
      <c r="L24" s="12"/>
      <c r="O24" s="11"/>
      <c r="P24" t="s">
        <v>105</v>
      </c>
      <c r="U24" s="12"/>
    </row>
    <row r="25" spans="2:21" ht="15.75" thickBot="1" x14ac:dyDescent="0.3">
      <c r="B25" s="124" t="s">
        <v>71</v>
      </c>
      <c r="C25" s="15">
        <f>IF(OR(C4="",C5="",C9="",C15="",C16="",C18="",C23=""),"",ROUNDUP(((IF(C18="Parallel to Length",(C5*12-2*VALUE(LEFT(C9,FIND("x",C9)-1))),(C4*12-2*VALUE(LEFT(C9,FIND("x",C9)-1)))))*(C23/100))/IF(C15="Horizontal",MAX(VALUE(LEFT(C16,FIND("x",C16)-1)),VALUE(MID(C16,FIND("x",C16)+1,10))),MIN(VALUE(LEFT(C16,FIND("x",C16)-1)),VALUE(MID(C16,FIND("x",C16)+1,10)))),0))</f>
        <v>17</v>
      </c>
      <c r="D25" s="15"/>
      <c r="E25" s="15"/>
      <c r="F25" s="13"/>
      <c r="H25" s="18" t="s">
        <v>74</v>
      </c>
      <c r="I25" s="27">
        <f>IF(OR(Quoting!$C$4="", Quoting!$C$6="", Quoting!$C$9="", Quoting!$I$15="", Quoting!$I$16="", Quoting!$I$18="", Quoting!$I$19="", Quoting!$I$23=""), "",
ROUNDUP(
   IF(Quoting!$I$19=0,0,
      (
         IF(Quoting!$I$18="Parallel to Top",
            IF(Quoting!$I$15="Horizontal",
               Quoting!$C$6*12 - MAX(VALUE(LEFT(Quoting!$C$9,FIND("x",Quoting!$C$9)-1)), VALUE(MID(Quoting!$C$9,FIND("x",Quoting!$C$9)+1,10))) - Quoting!$I$21 - Quoting!$I$22,
               Quoting!$C$6*12 - MIN(VALUE(LEFT(Quoting!$C$9,FIND("x",Quoting!$C$9)-1)), VALUE(MID(Quoting!$C$9,FIND("x",Quoting!$C$9)+1,10))) - Quoting!$I$21 - Quoting!$I$22
            ),
            IF(Quoting!$I$18="Parallel to Height",
               IF(Quoting!$I$15="Horizontal",
                  Quoting!$C$4*12 - 2*MAX(VALUE(LEFT(Quoting!$C$9,FIND("x",Quoting!$C$9)-1)), VALUE(MID(Quoting!$C$9,FIND("x",Quoting!$C$9)+1,10))),
                  Quoting!$C$4*12 - 2*MIN(VALUE(LEFT(Quoting!$C$9,FIND("x",Quoting!$C$9)-1)), VALUE(MID(Quoting!$C$9,FIND("x",Quoting!$C$9)+1,10)))
               )
            )
         )
         * (Quoting!$I$23/100)
      )
      / IF(Quoting!$I$15="Horizontal",
         MAX(VALUE(LEFT(Quoting!$I$16,FIND("x",Quoting!$I$16)-1)), VALUE(MID(Quoting!$I$16,FIND("x",Quoting!$I$16)+1,10))),
         MIN(VALUE(LEFT(Quoting!$I$16,FIND("x",Quoting!$I$16)-1)), VALUE(MID(Quoting!$I$16,FIND("x",Quoting!$I$16)+1,10)))
      )
   ),0)
)</f>
        <v>0</v>
      </c>
      <c r="K25" s="27"/>
      <c r="L25" s="12"/>
      <c r="O25" s="11"/>
      <c r="U25" s="12"/>
    </row>
    <row r="26" spans="2:21" ht="15.75" thickBot="1" x14ac:dyDescent="0.3">
      <c r="H26" s="124" t="s">
        <v>75</v>
      </c>
      <c r="I26" s="15">
        <v>5</v>
      </c>
      <c r="J26" s="15"/>
      <c r="K26" s="15"/>
      <c r="L26" s="13"/>
      <c r="O26" s="11"/>
      <c r="U26" s="12"/>
    </row>
    <row r="27" spans="2:21" ht="15.75" thickBot="1" x14ac:dyDescent="0.3">
      <c r="H27" s="8"/>
      <c r="O27" s="11"/>
      <c r="Q27" t="s">
        <v>101</v>
      </c>
      <c r="U27" s="12"/>
    </row>
    <row r="28" spans="2:21" ht="15.75" thickBot="1" x14ac:dyDescent="0.3">
      <c r="B28" s="62" t="s">
        <v>80</v>
      </c>
      <c r="C28" s="14"/>
      <c r="D28" s="116"/>
      <c r="O28" s="33"/>
      <c r="P28" s="32"/>
      <c r="Q28" s="32"/>
      <c r="R28" s="32"/>
      <c r="S28" s="32"/>
      <c r="T28" s="32"/>
      <c r="U28" s="34"/>
    </row>
    <row r="29" spans="2:21" ht="15.75" thickTop="1" x14ac:dyDescent="0.25">
      <c r="B29" s="61" t="s">
        <v>109</v>
      </c>
      <c r="C29" s="43" t="s">
        <v>110</v>
      </c>
      <c r="D29" s="44" t="s">
        <v>61</v>
      </c>
      <c r="E29" s="8"/>
      <c r="F29" s="8"/>
      <c r="H29" s="74"/>
      <c r="I29" s="74"/>
      <c r="J29" s="28"/>
      <c r="K29" s="28"/>
      <c r="L29" s="28"/>
      <c r="M29" s="28"/>
      <c r="O29" s="11" t="s">
        <v>97</v>
      </c>
      <c r="U29" s="12"/>
    </row>
    <row r="30" spans="2:21" x14ac:dyDescent="0.25">
      <c r="B30" s="118"/>
      <c r="C30" t="s">
        <v>293</v>
      </c>
      <c r="D30" s="12" t="str">
        <f>$C$9</f>
        <v>4x4</v>
      </c>
      <c r="E30" s="115"/>
      <c r="H30" s="74"/>
      <c r="I30" s="74"/>
      <c r="J30" s="28"/>
      <c r="K30" s="28"/>
      <c r="L30" s="28"/>
      <c r="M30" s="28"/>
      <c r="O30" s="11"/>
      <c r="U30" s="12"/>
    </row>
    <row r="31" spans="2:21" x14ac:dyDescent="0.25">
      <c r="B31" s="118">
        <v>2</v>
      </c>
      <c r="C31" t="s">
        <v>111</v>
      </c>
      <c r="D31" s="12" t="str">
        <f>$C$9</f>
        <v>4x4</v>
      </c>
      <c r="E31" s="115"/>
      <c r="H31" s="74"/>
      <c r="I31" s="74"/>
      <c r="J31" s="74"/>
      <c r="K31" s="74"/>
      <c r="L31" s="74"/>
      <c r="M31" s="74"/>
      <c r="N31" s="59"/>
      <c r="O31" s="11"/>
      <c r="P31" t="s">
        <v>104</v>
      </c>
      <c r="S31" t="s">
        <v>105</v>
      </c>
      <c r="U31" s="12"/>
    </row>
    <row r="32" spans="2:21" x14ac:dyDescent="0.25">
      <c r="B32" s="118">
        <v>2</v>
      </c>
      <c r="C32" t="s">
        <v>112</v>
      </c>
      <c r="D32" s="12" t="str">
        <f>$C$9</f>
        <v>4x4</v>
      </c>
      <c r="E32" s="115"/>
      <c r="H32" s="28"/>
      <c r="I32" s="28"/>
      <c r="J32" s="28"/>
      <c r="K32" s="28"/>
      <c r="L32" s="28"/>
      <c r="M32" s="28"/>
      <c r="O32" s="11"/>
      <c r="U32" s="12"/>
    </row>
    <row r="33" spans="2:21" x14ac:dyDescent="0.25">
      <c r="B33" s="118">
        <v>0</v>
      </c>
      <c r="C33" t="s">
        <v>113</v>
      </c>
      <c r="D33" s="12" t="str">
        <f>$C$16</f>
        <v>2x4</v>
      </c>
      <c r="E33" s="115"/>
      <c r="H33" s="28"/>
      <c r="I33" s="28"/>
      <c r="J33" s="28"/>
      <c r="K33" s="28"/>
      <c r="L33" s="28"/>
      <c r="M33" s="28"/>
      <c r="O33" s="11"/>
      <c r="U33" s="12"/>
    </row>
    <row r="34" spans="2:21" x14ac:dyDescent="0.25">
      <c r="B34" s="118">
        <v>2</v>
      </c>
      <c r="C34" t="s">
        <v>114</v>
      </c>
      <c r="D34" s="12" t="str">
        <f>$I$16</f>
        <v>1x3</v>
      </c>
      <c r="E34" s="115"/>
      <c r="H34" s="28"/>
      <c r="I34" s="28"/>
      <c r="J34" s="28"/>
      <c r="K34" s="28"/>
      <c r="L34" s="28"/>
      <c r="M34" s="28"/>
      <c r="O34" s="11"/>
      <c r="U34" s="12"/>
    </row>
    <row r="35" spans="2:21" x14ac:dyDescent="0.25">
      <c r="B35" s="118">
        <v>5</v>
      </c>
      <c r="C35" t="s">
        <v>115</v>
      </c>
      <c r="D35" s="12" t="str">
        <f>$I$16</f>
        <v>1x3</v>
      </c>
      <c r="E35" s="115"/>
      <c r="H35" s="74"/>
      <c r="I35" s="28"/>
      <c r="J35" s="74"/>
      <c r="K35" s="28"/>
      <c r="L35" s="28"/>
      <c r="M35" s="28"/>
      <c r="O35" s="11"/>
      <c r="U35" s="12"/>
    </row>
    <row r="36" spans="2:21" x14ac:dyDescent="0.25">
      <c r="B36" s="118"/>
      <c r="C36" t="s">
        <v>108</v>
      </c>
      <c r="D36" s="117"/>
      <c r="E36" s="115"/>
      <c r="H36" s="28"/>
      <c r="I36" s="28"/>
      <c r="J36" s="28"/>
      <c r="K36" s="28"/>
      <c r="L36" s="28"/>
      <c r="M36" s="28"/>
      <c r="O36" s="11"/>
      <c r="U36" s="12"/>
    </row>
    <row r="37" spans="2:21" x14ac:dyDescent="0.25">
      <c r="B37" s="118"/>
      <c r="C37" t="s">
        <v>277</v>
      </c>
      <c r="D37" s="12"/>
      <c r="E37" s="115"/>
      <c r="O37" s="11"/>
      <c r="U37" s="12"/>
    </row>
    <row r="38" spans="2:21" x14ac:dyDescent="0.25">
      <c r="B38" s="118"/>
      <c r="C38" t="s">
        <v>221</v>
      </c>
      <c r="D38" s="12"/>
      <c r="E38" s="115"/>
      <c r="O38" s="11"/>
      <c r="U38" s="12"/>
    </row>
    <row r="39" spans="2:21" ht="15.75" thickBot="1" x14ac:dyDescent="0.3">
      <c r="B39" s="119"/>
      <c r="C39" s="15" t="s">
        <v>184</v>
      </c>
      <c r="D39" s="13"/>
      <c r="O39" s="11"/>
      <c r="U39" s="12"/>
    </row>
    <row r="40" spans="2:21" x14ac:dyDescent="0.25">
      <c r="O40" s="11"/>
      <c r="U40" s="12"/>
    </row>
    <row r="41" spans="2:21" ht="15.75" thickBot="1" x14ac:dyDescent="0.3">
      <c r="D41" s="57"/>
      <c r="O41" s="11"/>
      <c r="U41" s="12"/>
    </row>
    <row r="42" spans="2:21" ht="15.75" thickBot="1" x14ac:dyDescent="0.3">
      <c r="B42" s="8"/>
      <c r="C42" s="62" t="s">
        <v>186</v>
      </c>
      <c r="D42" s="90"/>
      <c r="E42" s="37"/>
      <c r="F42" s="38"/>
      <c r="O42" s="11"/>
      <c r="U42" s="12"/>
    </row>
    <row r="43" spans="2:21" ht="15.75" thickTop="1" x14ac:dyDescent="0.25">
      <c r="B43" s="8"/>
      <c r="C43" s="11" t="s">
        <v>190</v>
      </c>
      <c r="D43" s="89"/>
      <c r="F43" s="12"/>
      <c r="O43" s="11"/>
      <c r="U43" s="12"/>
    </row>
    <row r="44" spans="2:21" x14ac:dyDescent="0.25">
      <c r="B44" s="8"/>
      <c r="C44" s="85" t="s">
        <v>285</v>
      </c>
      <c r="D44" s="64">
        <f>IF(TRIM(C17)&lt;&gt;"","Select tubing manually from the extra dropdown",IF($C$16="2x4",0.12,0.125))</f>
        <v>0.12</v>
      </c>
      <c r="F44" s="12"/>
      <c r="O44" s="11"/>
      <c r="U44" s="12"/>
    </row>
    <row r="45" spans="2:21" ht="15.75" thickBot="1" x14ac:dyDescent="0.3">
      <c r="B45" s="8"/>
      <c r="C45" s="88" t="s">
        <v>286</v>
      </c>
      <c r="D45" s="107">
        <f>IF(TRIM(I17)&lt;&gt;"","Select tubing manually from the extra dropdown",IF($I$16="2x4",0.12,0.125))</f>
        <v>0.125</v>
      </c>
      <c r="F45" s="12"/>
      <c r="O45" s="11"/>
      <c r="U45" s="12"/>
    </row>
    <row r="46" spans="2:21" ht="15.75" thickBot="1" x14ac:dyDescent="0.3">
      <c r="C46" s="82" t="s">
        <v>187</v>
      </c>
      <c r="D46" s="83" t="s">
        <v>188</v>
      </c>
      <c r="E46" s="83" t="s">
        <v>200</v>
      </c>
      <c r="F46" s="84" t="s">
        <v>189</v>
      </c>
      <c r="H46" t="s">
        <v>291</v>
      </c>
      <c r="O46" s="11"/>
      <c r="U46" s="12"/>
    </row>
    <row r="47" spans="2:21" x14ac:dyDescent="0.25">
      <c r="C47" s="86"/>
      <c r="D47" s="60"/>
      <c r="E47" s="94"/>
      <c r="F47" s="95">
        <f>D47*E47</f>
        <v>0</v>
      </c>
      <c r="H47" s="106"/>
      <c r="O47" s="11"/>
      <c r="U47" s="12"/>
    </row>
    <row r="48" spans="2:21" x14ac:dyDescent="0.25">
      <c r="C48" s="87"/>
      <c r="D48" s="20"/>
      <c r="E48" s="96"/>
      <c r="F48" s="97">
        <f t="shared" ref="F48:F54" si="0">D48*E48</f>
        <v>0</v>
      </c>
      <c r="H48" s="106"/>
      <c r="O48" s="11"/>
      <c r="U48" s="12"/>
    </row>
    <row r="49" spans="3:21" x14ac:dyDescent="0.25">
      <c r="C49" s="87"/>
      <c r="D49" s="20"/>
      <c r="E49" s="96"/>
      <c r="F49" s="97">
        <f t="shared" si="0"/>
        <v>0</v>
      </c>
      <c r="H49" s="106"/>
      <c r="O49" s="11"/>
      <c r="U49" s="12"/>
    </row>
    <row r="50" spans="3:21" x14ac:dyDescent="0.25">
      <c r="C50" s="87"/>
      <c r="D50" s="20"/>
      <c r="E50" s="96"/>
      <c r="F50" s="97">
        <f t="shared" si="0"/>
        <v>0</v>
      </c>
      <c r="H50" s="106"/>
      <c r="O50" s="11"/>
      <c r="U50" s="12"/>
    </row>
    <row r="51" spans="3:21" x14ac:dyDescent="0.25">
      <c r="C51" s="87"/>
      <c r="D51" s="20"/>
      <c r="E51" s="96"/>
      <c r="F51" s="97">
        <f t="shared" si="0"/>
        <v>0</v>
      </c>
      <c r="O51" s="11"/>
      <c r="U51" s="12"/>
    </row>
    <row r="52" spans="3:21" x14ac:dyDescent="0.25">
      <c r="C52" s="87"/>
      <c r="D52" s="20"/>
      <c r="E52" s="96"/>
      <c r="F52" s="97">
        <f t="shared" si="0"/>
        <v>0</v>
      </c>
      <c r="O52" s="11"/>
      <c r="P52" t="s">
        <v>102</v>
      </c>
      <c r="S52" t="s">
        <v>103</v>
      </c>
      <c r="U52" s="12"/>
    </row>
    <row r="53" spans="3:21" ht="15.75" thickBot="1" x14ac:dyDescent="0.3">
      <c r="C53" s="87"/>
      <c r="D53" s="20"/>
      <c r="E53" s="96"/>
      <c r="F53" s="97">
        <f t="shared" si="0"/>
        <v>0</v>
      </c>
      <c r="O53" s="31"/>
      <c r="P53" s="15"/>
      <c r="Q53" s="15"/>
      <c r="R53" s="15"/>
      <c r="S53" s="15"/>
      <c r="T53" s="15"/>
      <c r="U53" s="13"/>
    </row>
    <row r="54" spans="3:21" x14ac:dyDescent="0.25">
      <c r="C54" s="87"/>
      <c r="D54" s="20"/>
      <c r="E54" s="96"/>
      <c r="F54" s="97">
        <f t="shared" si="0"/>
        <v>0</v>
      </c>
    </row>
    <row r="55" spans="3:21" ht="15.75" thickBot="1" x14ac:dyDescent="0.3">
      <c r="C55" s="11"/>
      <c r="D55" s="81"/>
      <c r="E55" s="98"/>
      <c r="F55" s="99"/>
    </row>
    <row r="56" spans="3:21" ht="15.75" thickBot="1" x14ac:dyDescent="0.3">
      <c r="C56" s="82" t="s">
        <v>201</v>
      </c>
      <c r="D56" s="83"/>
      <c r="E56" s="100"/>
      <c r="F56" s="101"/>
    </row>
    <row r="57" spans="3:21" x14ac:dyDescent="0.25">
      <c r="C57" s="86" t="s">
        <v>208</v>
      </c>
      <c r="D57" s="60"/>
      <c r="E57" s="94">
        <v>65</v>
      </c>
      <c r="F57" s="95">
        <f>D57*E57</f>
        <v>0</v>
      </c>
    </row>
    <row r="58" spans="3:21" x14ac:dyDescent="0.25">
      <c r="C58" s="87"/>
      <c r="D58" s="20"/>
      <c r="E58" s="96"/>
      <c r="F58" s="97">
        <f t="shared" ref="F58:F60" si="1">D58*E58</f>
        <v>0</v>
      </c>
    </row>
    <row r="59" spans="3:21" x14ac:dyDescent="0.25">
      <c r="C59" s="87"/>
      <c r="D59" s="20"/>
      <c r="E59" s="96"/>
      <c r="F59" s="97">
        <f t="shared" si="1"/>
        <v>0</v>
      </c>
    </row>
    <row r="60" spans="3:21" x14ac:dyDescent="0.25">
      <c r="C60" s="87"/>
      <c r="D60" s="20"/>
      <c r="E60" s="96"/>
      <c r="F60" s="97">
        <f t="shared" si="1"/>
        <v>0</v>
      </c>
    </row>
    <row r="61" spans="3:21" ht="15.75" thickBot="1" x14ac:dyDescent="0.3">
      <c r="C61" s="11"/>
      <c r="D61" s="81"/>
      <c r="E61" s="98"/>
      <c r="F61" s="99"/>
    </row>
    <row r="62" spans="3:21" ht="15.75" thickBot="1" x14ac:dyDescent="0.3">
      <c r="C62" s="82" t="s">
        <v>221</v>
      </c>
      <c r="D62" s="83"/>
      <c r="E62" s="100"/>
      <c r="F62" s="101"/>
    </row>
    <row r="63" spans="3:21" x14ac:dyDescent="0.25">
      <c r="C63" s="86" t="s">
        <v>230</v>
      </c>
      <c r="D63" s="60"/>
      <c r="E63" s="94">
        <v>35</v>
      </c>
      <c r="F63" s="95">
        <f>D63*E63</f>
        <v>0</v>
      </c>
    </row>
    <row r="64" spans="3:21" x14ac:dyDescent="0.25">
      <c r="C64" s="87"/>
      <c r="D64" s="20"/>
      <c r="E64" s="96"/>
      <c r="F64" s="97">
        <f t="shared" ref="F64:F66" si="2">D64*E64</f>
        <v>0</v>
      </c>
    </row>
    <row r="65" spans="3:6" x14ac:dyDescent="0.25">
      <c r="C65" s="87"/>
      <c r="D65" s="20"/>
      <c r="E65" s="96"/>
      <c r="F65" s="97">
        <f t="shared" si="2"/>
        <v>0</v>
      </c>
    </row>
    <row r="66" spans="3:6" x14ac:dyDescent="0.25">
      <c r="C66" s="87"/>
      <c r="D66" s="20"/>
      <c r="E66" s="96"/>
      <c r="F66" s="97">
        <f t="shared" si="2"/>
        <v>0</v>
      </c>
    </row>
    <row r="67" spans="3:6" ht="15.75" thickBot="1" x14ac:dyDescent="0.3">
      <c r="C67" s="11"/>
      <c r="D67" s="81"/>
      <c r="E67" s="98"/>
      <c r="F67" s="99"/>
    </row>
    <row r="68" spans="3:6" ht="15.75" thickBot="1" x14ac:dyDescent="0.3">
      <c r="C68" s="82" t="s">
        <v>275</v>
      </c>
      <c r="D68" s="83"/>
      <c r="E68" s="100"/>
      <c r="F68" s="101"/>
    </row>
    <row r="69" spans="3:6" x14ac:dyDescent="0.25">
      <c r="C69" s="86"/>
      <c r="D69" s="60"/>
      <c r="E69" s="94"/>
      <c r="F69" s="95">
        <f>D69*E69</f>
        <v>0</v>
      </c>
    </row>
    <row r="70" spans="3:6" x14ac:dyDescent="0.25">
      <c r="C70" s="87"/>
      <c r="D70" s="20"/>
      <c r="E70" s="96"/>
      <c r="F70" s="97">
        <f t="shared" ref="F70:F72" si="3">D70*E70</f>
        <v>0</v>
      </c>
    </row>
    <row r="71" spans="3:6" x14ac:dyDescent="0.25">
      <c r="C71" s="87"/>
      <c r="D71" s="20"/>
      <c r="E71" s="96"/>
      <c r="F71" s="97">
        <f t="shared" si="3"/>
        <v>0</v>
      </c>
    </row>
    <row r="72" spans="3:6" x14ac:dyDescent="0.25">
      <c r="C72" s="87"/>
      <c r="D72" s="20"/>
      <c r="E72" s="96"/>
      <c r="F72" s="97">
        <f t="shared" si="3"/>
        <v>0</v>
      </c>
    </row>
    <row r="73" spans="3:6" ht="15.75" thickBot="1" x14ac:dyDescent="0.3">
      <c r="C73" s="11"/>
      <c r="D73" s="81"/>
      <c r="E73" s="98"/>
      <c r="F73" s="99"/>
    </row>
    <row r="74" spans="3:6" ht="15.75" thickBot="1" x14ac:dyDescent="0.3">
      <c r="C74" s="82" t="s">
        <v>276</v>
      </c>
      <c r="D74" s="83"/>
      <c r="E74" s="100"/>
      <c r="F74" s="101"/>
    </row>
    <row r="75" spans="3:6" x14ac:dyDescent="0.25">
      <c r="C75" s="86"/>
      <c r="D75" s="60"/>
      <c r="E75" s="94"/>
      <c r="F75" s="95">
        <f>D75*E75</f>
        <v>0</v>
      </c>
    </row>
    <row r="76" spans="3:6" x14ac:dyDescent="0.25">
      <c r="C76" s="87"/>
      <c r="D76" s="20"/>
      <c r="E76" s="96"/>
      <c r="F76" s="97">
        <f>D76*E76</f>
        <v>0</v>
      </c>
    </row>
    <row r="77" spans="3:6" ht="15.75" thickBot="1" x14ac:dyDescent="0.3">
      <c r="C77" s="31"/>
      <c r="D77" s="121"/>
      <c r="E77" s="103"/>
      <c r="F77" s="104"/>
    </row>
    <row r="78" spans="3:6" ht="15.75" thickBot="1" x14ac:dyDescent="0.3">
      <c r="C78" s="8"/>
      <c r="D78" s="8"/>
      <c r="E78" s="120"/>
      <c r="F78" s="120"/>
    </row>
    <row r="79" spans="3:6" ht="15.75" thickBot="1" x14ac:dyDescent="0.3">
      <c r="C79" s="82" t="s">
        <v>116</v>
      </c>
      <c r="D79" s="83"/>
      <c r="E79" s="100"/>
      <c r="F79" s="101"/>
    </row>
    <row r="80" spans="3:6" x14ac:dyDescent="0.25">
      <c r="C80" s="33" t="s">
        <v>184</v>
      </c>
      <c r="D80" s="109">
        <f>$B$39</f>
        <v>0</v>
      </c>
      <c r="E80" s="94">
        <v>20</v>
      </c>
      <c r="F80" s="95">
        <f>D80*E80</f>
        <v>0</v>
      </c>
    </row>
    <row r="81" spans="3:6" x14ac:dyDescent="0.25">
      <c r="C81" s="85" t="s">
        <v>277</v>
      </c>
      <c r="D81" s="123">
        <f>$B$37</f>
        <v>0</v>
      </c>
      <c r="E81" s="96">
        <v>15</v>
      </c>
      <c r="F81" s="97">
        <f>D81*E81</f>
        <v>0</v>
      </c>
    </row>
    <row r="82" spans="3:6" x14ac:dyDescent="0.25">
      <c r="C82" s="85" t="s">
        <v>278</v>
      </c>
      <c r="D82" s="1"/>
      <c r="E82" s="96"/>
      <c r="F82" s="102"/>
    </row>
    <row r="83" spans="3:6" x14ac:dyDescent="0.25">
      <c r="C83" s="85" t="s">
        <v>287</v>
      </c>
      <c r="D83" s="122">
        <v>0</v>
      </c>
      <c r="E83" s="96">
        <v>100</v>
      </c>
      <c r="F83" s="110">
        <f>D83*E83</f>
        <v>0</v>
      </c>
    </row>
    <row r="84" spans="3:6" x14ac:dyDescent="0.25">
      <c r="C84" s="85" t="s">
        <v>289</v>
      </c>
      <c r="D84" s="122">
        <v>0</v>
      </c>
      <c r="E84" s="96">
        <v>200</v>
      </c>
      <c r="F84" s="110">
        <f t="shared" ref="F84:F85" si="4">D84*E84</f>
        <v>0</v>
      </c>
    </row>
    <row r="85" spans="3:6" x14ac:dyDescent="0.25">
      <c r="C85" s="85" t="s">
        <v>288</v>
      </c>
      <c r="D85" s="122">
        <v>0</v>
      </c>
      <c r="E85" s="96">
        <v>300</v>
      </c>
      <c r="F85" s="110">
        <f t="shared" si="4"/>
        <v>0</v>
      </c>
    </row>
    <row r="86" spans="3:6" x14ac:dyDescent="0.25">
      <c r="C86" s="85" t="s">
        <v>292</v>
      </c>
      <c r="D86" s="122"/>
      <c r="E86" s="96">
        <v>100</v>
      </c>
      <c r="F86" s="110">
        <f>D86*E86</f>
        <v>0</v>
      </c>
    </row>
    <row r="87" spans="3:6" x14ac:dyDescent="0.25">
      <c r="C87" s="85" t="s">
        <v>279</v>
      </c>
      <c r="D87" s="1"/>
      <c r="E87" s="96"/>
      <c r="F87" s="102"/>
    </row>
    <row r="88" spans="3:6" ht="15.75" thickBot="1" x14ac:dyDescent="0.3">
      <c r="C88" s="88" t="s">
        <v>280</v>
      </c>
      <c r="D88" s="21"/>
      <c r="E88" s="103">
        <v>50</v>
      </c>
      <c r="F88" s="104">
        <f>D88*E88</f>
        <v>0</v>
      </c>
    </row>
    <row r="89" spans="3:6" ht="15.75" thickBot="1" x14ac:dyDescent="0.3"/>
    <row r="90" spans="3:6" ht="15.75" thickBot="1" x14ac:dyDescent="0.3">
      <c r="C90" s="82" t="s">
        <v>290</v>
      </c>
      <c r="D90" s="108">
        <v>0</v>
      </c>
    </row>
    <row r="91" spans="3:6" ht="15.75" thickBot="1" x14ac:dyDescent="0.3"/>
    <row r="92" spans="3:6" ht="15.75" thickBot="1" x14ac:dyDescent="0.3">
      <c r="C92" s="76" t="s">
        <v>281</v>
      </c>
      <c r="D92" s="93">
        <f>SUM(F47:F88) + $D$90</f>
        <v>0</v>
      </c>
      <c r="E92" s="77"/>
    </row>
    <row r="93" spans="3:6" ht="16.5" thickTop="1" thickBot="1" x14ac:dyDescent="0.3">
      <c r="C93" s="78"/>
      <c r="D93" s="79"/>
      <c r="E93" s="80"/>
    </row>
    <row r="94" spans="3:6" ht="15.75" thickTop="1" x14ac:dyDescent="0.25">
      <c r="C94" s="18" t="s">
        <v>282</v>
      </c>
      <c r="D94" s="105">
        <v>0.6</v>
      </c>
      <c r="E94" s="75">
        <v>0.5</v>
      </c>
    </row>
    <row r="95" spans="3:6" ht="15.75" thickBot="1" x14ac:dyDescent="0.3">
      <c r="C95" s="31"/>
      <c r="D95" s="91">
        <f>CEILING(D92/(1-D94),500)</f>
        <v>0</v>
      </c>
      <c r="E95" s="92">
        <f>CEILING(D92/(1-E94),500)</f>
        <v>0</v>
      </c>
    </row>
  </sheetData>
  <phoneticPr fontId="2" type="noConversion"/>
  <dataValidations count="15">
    <dataValidation type="list" allowBlank="1" showInputMessage="1" showErrorMessage="1" sqref="C8" xr:uid="{342890D2-D019-41E1-8D5E-46816F594BEA}">
      <formula1>"Pergola, Grand Pergola"</formula1>
    </dataValidation>
    <dataValidation type="list" allowBlank="1" showInputMessage="1" showErrorMessage="1" sqref="C11" xr:uid="{D17D41D6-5CCF-4753-A02F-6A3C09AE0329}">
      <formula1>"Yes, No"</formula1>
    </dataValidation>
    <dataValidation type="list" allowBlank="1" showInputMessage="1" showErrorMessage="1" sqref="C14 I14" xr:uid="{7E59B511-5860-4E49-891C-ED9200862880}">
      <formula1>"Aluminum, Alumiwood, Cedar"</formula1>
    </dataValidation>
    <dataValidation type="list" allowBlank="1" showInputMessage="1" showErrorMessage="1" sqref="C15 I15" xr:uid="{D9D1FEDD-AB33-4C21-9938-A24D2159108D}">
      <formula1>"Vertical, Horizontal"</formula1>
    </dataValidation>
    <dataValidation type="list" allowBlank="1" showInputMessage="1" showErrorMessage="1" sqref="C18" xr:uid="{03CC28A4-901F-4B43-9A24-198FAA618AD8}">
      <formula1>"Parallel to length, Parallel to depth"</formula1>
    </dataValidation>
    <dataValidation type="list" allowBlank="1" showInputMessage="1" showErrorMessage="1" sqref="I19:I20" xr:uid="{CB701500-15F3-4F3B-84D8-429C528EDC41}">
      <formula1>"0,1,2"</formula1>
    </dataValidation>
    <dataValidation type="list" allowBlank="1" showInputMessage="1" showErrorMessage="1" sqref="I18" xr:uid="{404176E5-5AE4-471A-8DFB-E0D0FA7914DE}">
      <formula1>"Parallel to top, Parallel to height"</formula1>
    </dataValidation>
    <dataValidation type="list" allowBlank="1" showInputMessage="1" showErrorMessage="1" sqref="I16" xr:uid="{7B485B99-AFB0-4733-8478-9503B595FE9E}">
      <formula1>_xlfn.ANCHORARRAY($L$16)</formula1>
    </dataValidation>
    <dataValidation type="list" allowBlank="1" showInputMessage="1" showErrorMessage="1" sqref="D43" xr:uid="{209C2E99-798F-4774-BBBB-89C8C8812594}">
      <formula1>INDIRECT("x" &amp; SUBSTITUTE($C$9,"x","x"))</formula1>
    </dataValidation>
    <dataValidation type="list" allowBlank="1" showInputMessage="1" showErrorMessage="1" sqref="C47:C54" xr:uid="{F0826C97-B4C2-47E4-A77D-267B6A70BF00}">
      <formula1>TubingList</formula1>
    </dataValidation>
    <dataValidation type="list" allowBlank="1" showInputMessage="1" showErrorMessage="1" sqref="C57:C60" xr:uid="{B4094901-9039-4440-A8B3-B6CA9AAD3003}">
      <formula1>BlocksList</formula1>
    </dataValidation>
    <dataValidation type="list" allowBlank="1" showInputMessage="1" showErrorMessage="1" sqref="C63:C66" xr:uid="{46B0BFC3-E1CC-449F-A513-FCCB46D5DFEF}">
      <formula1>EndCapsList</formula1>
    </dataValidation>
    <dataValidation type="list" allowBlank="1" showInputMessage="1" showErrorMessage="1" sqref="C69:C72" xr:uid="{C2CAD772-9B52-4959-A700-2CC7697D713A}">
      <formula1>AngleIronList</formula1>
    </dataValidation>
    <dataValidation type="list" allowBlank="1" showInputMessage="1" showErrorMessage="1" sqref="C75:C76" xr:uid="{593D5678-D2AF-49E8-9A6F-75E0ACEAE3D1}">
      <formula1>FlatbarList</formula1>
    </dataValidation>
    <dataValidation type="list" allowBlank="1" showInputMessage="1" showErrorMessage="1" sqref="C16" xr:uid="{A2D6853D-7452-44D2-909A-DF57190E0989}">
      <formula1>_xlfn.ANCHORARRAY($F$16)</formula1>
    </dataValidation>
  </dataValidations>
  <pageMargins left="0.7" right="0.7" top="0.75" bottom="0.75" header="0.3" footer="0.3"/>
  <pageSetup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PricingCounts">
                <anchor moveWithCells="1" sizeWithCells="1">
                  <from>
                    <xdr:col>4</xdr:col>
                    <xdr:colOff>133350</xdr:colOff>
                    <xdr:row>41</xdr:row>
                    <xdr:rowOff>57150</xdr:rowOff>
                  </from>
                  <to>
                    <xdr:col>5</xdr:col>
                    <xdr:colOff>904875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3.NoPrivacyPanelInputs">
                <anchor moveWithCells="1" sizeWithCells="1">
                  <from>
                    <xdr:col>7</xdr:col>
                    <xdr:colOff>133350</xdr:colOff>
                    <xdr:row>10</xdr:row>
                    <xdr:rowOff>161925</xdr:rowOff>
                  </from>
                  <to>
                    <xdr:col>7</xdr:col>
                    <xdr:colOff>1543050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B26B-0B07-4FD6-9BFE-0037C27EEB7B}">
  <sheetPr codeName="Sheet6"/>
  <dimension ref="A1:I32"/>
  <sheetViews>
    <sheetView workbookViewId="0">
      <selection activeCell="C33" sqref="C33"/>
    </sheetView>
  </sheetViews>
  <sheetFormatPr defaultRowHeight="15" x14ac:dyDescent="0.25"/>
  <cols>
    <col min="1" max="1" width="24.7109375" customWidth="1"/>
    <col min="2" max="3" width="15.85546875" customWidth="1"/>
    <col min="4" max="4" width="11.28515625" customWidth="1"/>
    <col min="5" max="5" width="11.5703125" customWidth="1"/>
    <col min="6" max="7" width="12.28515625" customWidth="1"/>
    <col min="8" max="8" width="10.85546875" customWidth="1"/>
    <col min="9" max="9" width="15" customWidth="1"/>
  </cols>
  <sheetData>
    <row r="1" spans="1:9" x14ac:dyDescent="0.25">
      <c r="A1" s="51" t="s">
        <v>117</v>
      </c>
      <c r="B1" s="52" t="s">
        <v>118</v>
      </c>
      <c r="C1" s="52" t="s">
        <v>61</v>
      </c>
      <c r="D1" s="53" t="s">
        <v>119</v>
      </c>
      <c r="E1" s="54" t="s">
        <v>120</v>
      </c>
      <c r="F1" s="55" t="s">
        <v>121</v>
      </c>
      <c r="G1" s="56" t="s">
        <v>182</v>
      </c>
    </row>
    <row r="2" spans="1:9" x14ac:dyDescent="0.25">
      <c r="A2" t="s">
        <v>122</v>
      </c>
      <c r="B2" t="s">
        <v>123</v>
      </c>
      <c r="C2" t="s">
        <v>191</v>
      </c>
      <c r="D2" s="45">
        <v>9.5000000000000001E-2</v>
      </c>
      <c r="E2" s="47">
        <v>2.0499999999999998</v>
      </c>
      <c r="F2" s="47">
        <v>21</v>
      </c>
      <c r="G2">
        <f>E2*F2</f>
        <v>43.05</v>
      </c>
      <c r="I2" s="73">
        <v>44598</v>
      </c>
    </row>
    <row r="3" spans="1:9" x14ac:dyDescent="0.25">
      <c r="A3" t="s">
        <v>124</v>
      </c>
      <c r="B3" t="s">
        <v>125</v>
      </c>
      <c r="C3" t="s">
        <v>192</v>
      </c>
      <c r="D3" s="45">
        <v>9.5000000000000001E-2</v>
      </c>
      <c r="E3" s="47">
        <v>2.74</v>
      </c>
      <c r="F3" s="47">
        <v>21</v>
      </c>
      <c r="G3">
        <f t="shared" ref="G3:G32" si="0">E3*F3</f>
        <v>57.540000000000006</v>
      </c>
      <c r="I3" s="73">
        <v>44598</v>
      </c>
    </row>
    <row r="4" spans="1:9" x14ac:dyDescent="0.25">
      <c r="A4" t="s">
        <v>126</v>
      </c>
      <c r="B4" t="s">
        <v>127</v>
      </c>
      <c r="C4" t="s">
        <v>64</v>
      </c>
      <c r="D4" s="45">
        <v>0.125</v>
      </c>
      <c r="E4" s="47">
        <v>4.4000000000000004</v>
      </c>
      <c r="F4" s="47">
        <v>21</v>
      </c>
      <c r="G4">
        <f t="shared" si="0"/>
        <v>92.4</v>
      </c>
      <c r="I4" s="73">
        <v>44598</v>
      </c>
    </row>
    <row r="5" spans="1:9" x14ac:dyDescent="0.25">
      <c r="A5" t="s">
        <v>128</v>
      </c>
      <c r="B5" t="s">
        <v>129</v>
      </c>
      <c r="C5" t="s">
        <v>193</v>
      </c>
      <c r="D5" s="45">
        <v>0.125</v>
      </c>
      <c r="E5" s="47">
        <v>5.96</v>
      </c>
      <c r="F5" s="47">
        <v>21</v>
      </c>
      <c r="G5">
        <f t="shared" si="0"/>
        <v>125.16</v>
      </c>
      <c r="I5" s="73">
        <v>44598</v>
      </c>
    </row>
    <row r="6" spans="1:9" x14ac:dyDescent="0.25">
      <c r="A6" t="s">
        <v>130</v>
      </c>
      <c r="B6" t="s">
        <v>131</v>
      </c>
      <c r="C6" t="s">
        <v>194</v>
      </c>
      <c r="D6" s="45">
        <v>0.12</v>
      </c>
      <c r="E6" s="47">
        <v>5.12</v>
      </c>
      <c r="F6" s="47">
        <v>20</v>
      </c>
      <c r="G6">
        <f t="shared" si="0"/>
        <v>102.4</v>
      </c>
      <c r="I6" s="73">
        <v>44598</v>
      </c>
    </row>
    <row r="7" spans="1:9" x14ac:dyDescent="0.25">
      <c r="A7" t="s">
        <v>132</v>
      </c>
      <c r="B7" t="s">
        <v>133</v>
      </c>
      <c r="C7" t="s">
        <v>65</v>
      </c>
      <c r="D7" s="45">
        <v>0.12</v>
      </c>
      <c r="E7" s="47">
        <v>6.62</v>
      </c>
      <c r="F7" s="47">
        <v>21</v>
      </c>
      <c r="G7">
        <f t="shared" si="0"/>
        <v>139.02000000000001</v>
      </c>
      <c r="I7" s="73">
        <v>44598</v>
      </c>
    </row>
    <row r="8" spans="1:9" x14ac:dyDescent="0.25">
      <c r="A8" t="s">
        <v>134</v>
      </c>
      <c r="B8" t="s">
        <v>135</v>
      </c>
      <c r="C8" t="s">
        <v>65</v>
      </c>
      <c r="D8" s="45">
        <v>0.12</v>
      </c>
      <c r="E8" s="47">
        <v>9.25</v>
      </c>
      <c r="F8" s="47">
        <v>24</v>
      </c>
      <c r="G8">
        <f t="shared" si="0"/>
        <v>222</v>
      </c>
      <c r="I8" s="73">
        <v>44598</v>
      </c>
    </row>
    <row r="9" spans="1:9" x14ac:dyDescent="0.25">
      <c r="A9" t="s">
        <v>136</v>
      </c>
      <c r="B9" t="s">
        <v>137</v>
      </c>
      <c r="C9" t="s">
        <v>66</v>
      </c>
      <c r="D9" s="45">
        <v>0.125</v>
      </c>
      <c r="E9" s="47">
        <v>7.84</v>
      </c>
      <c r="F9" s="47">
        <v>20</v>
      </c>
      <c r="G9" s="28">
        <f t="shared" si="0"/>
        <v>156.80000000000001</v>
      </c>
      <c r="I9" s="73">
        <v>44598</v>
      </c>
    </row>
    <row r="10" spans="1:9" x14ac:dyDescent="0.25">
      <c r="A10" t="s">
        <v>138</v>
      </c>
      <c r="B10" t="s">
        <v>139</v>
      </c>
      <c r="C10" t="s">
        <v>66</v>
      </c>
      <c r="D10" s="45">
        <v>0.125</v>
      </c>
      <c r="E10" s="47">
        <v>7.84</v>
      </c>
      <c r="F10" s="47">
        <v>24</v>
      </c>
      <c r="G10">
        <f t="shared" si="0"/>
        <v>188.16</v>
      </c>
      <c r="I10" s="73">
        <v>44598</v>
      </c>
    </row>
    <row r="11" spans="1:9" x14ac:dyDescent="0.25">
      <c r="A11" t="s">
        <v>140</v>
      </c>
      <c r="B11" t="s">
        <v>141</v>
      </c>
      <c r="C11" t="s">
        <v>67</v>
      </c>
      <c r="D11" s="45">
        <v>0.125</v>
      </c>
      <c r="E11" s="47">
        <v>12.72</v>
      </c>
      <c r="F11" s="47">
        <v>21</v>
      </c>
      <c r="G11">
        <f t="shared" si="0"/>
        <v>267.12</v>
      </c>
      <c r="I11" s="73">
        <v>44594</v>
      </c>
    </row>
    <row r="12" spans="1:9" x14ac:dyDescent="0.25">
      <c r="A12" t="s">
        <v>142</v>
      </c>
      <c r="B12" t="s">
        <v>143</v>
      </c>
      <c r="C12" t="s">
        <v>67</v>
      </c>
      <c r="D12" s="45">
        <v>0.125</v>
      </c>
      <c r="E12" s="47">
        <v>12.72</v>
      </c>
      <c r="F12" s="47">
        <v>24</v>
      </c>
      <c r="G12">
        <f t="shared" si="0"/>
        <v>305.28000000000003</v>
      </c>
      <c r="I12" s="73">
        <v>44594</v>
      </c>
    </row>
    <row r="13" spans="1:9" x14ac:dyDescent="0.25">
      <c r="A13" t="s">
        <v>144</v>
      </c>
      <c r="C13" t="s">
        <v>195</v>
      </c>
      <c r="D13" s="45">
        <v>0.125</v>
      </c>
      <c r="E13" s="47">
        <v>21.5</v>
      </c>
      <c r="F13" s="47">
        <v>21</v>
      </c>
      <c r="G13">
        <f t="shared" si="0"/>
        <v>451.5</v>
      </c>
      <c r="I13" s="73">
        <v>44718</v>
      </c>
    </row>
    <row r="14" spans="1:9" x14ac:dyDescent="0.25">
      <c r="A14" t="s">
        <v>145</v>
      </c>
      <c r="B14" t="s">
        <v>146</v>
      </c>
      <c r="C14" t="s">
        <v>195</v>
      </c>
      <c r="D14" s="45">
        <v>0.125</v>
      </c>
      <c r="E14" s="47">
        <v>21.5</v>
      </c>
      <c r="F14" s="47">
        <v>24</v>
      </c>
      <c r="G14">
        <f t="shared" si="0"/>
        <v>516</v>
      </c>
      <c r="I14" s="73">
        <v>44718</v>
      </c>
    </row>
    <row r="15" spans="1:9" x14ac:dyDescent="0.25">
      <c r="A15" t="s">
        <v>284</v>
      </c>
      <c r="B15" t="s">
        <v>147</v>
      </c>
      <c r="C15" t="s">
        <v>198</v>
      </c>
      <c r="D15" s="45">
        <v>0.12</v>
      </c>
      <c r="E15" s="46">
        <v>3.88</v>
      </c>
      <c r="F15" s="47">
        <v>21</v>
      </c>
      <c r="G15">
        <f t="shared" si="0"/>
        <v>81.48</v>
      </c>
      <c r="I15" s="73">
        <v>45454</v>
      </c>
    </row>
    <row r="16" spans="1:9" x14ac:dyDescent="0.25">
      <c r="A16" t="s">
        <v>148</v>
      </c>
      <c r="B16" t="s">
        <v>149</v>
      </c>
      <c r="C16" t="s">
        <v>199</v>
      </c>
      <c r="D16" s="45">
        <v>0.12</v>
      </c>
      <c r="E16" s="47">
        <v>7.31</v>
      </c>
      <c r="F16" s="47">
        <v>21</v>
      </c>
      <c r="G16">
        <f t="shared" si="0"/>
        <v>153.51</v>
      </c>
      <c r="I16" s="73">
        <v>44598</v>
      </c>
    </row>
    <row r="17" spans="1:9" x14ac:dyDescent="0.25">
      <c r="A17" t="s">
        <v>150</v>
      </c>
      <c r="B17" t="s">
        <v>151</v>
      </c>
      <c r="C17" t="s">
        <v>199</v>
      </c>
      <c r="D17" s="45">
        <v>0.25</v>
      </c>
      <c r="E17" s="47">
        <v>17.75</v>
      </c>
      <c r="F17" s="47">
        <v>20</v>
      </c>
      <c r="G17">
        <f t="shared" si="0"/>
        <v>355</v>
      </c>
      <c r="I17" s="73">
        <v>44598</v>
      </c>
    </row>
    <row r="18" spans="1:9" x14ac:dyDescent="0.25">
      <c r="A18" t="s">
        <v>152</v>
      </c>
      <c r="B18" t="s">
        <v>153</v>
      </c>
      <c r="C18" t="s">
        <v>54</v>
      </c>
      <c r="D18" s="45">
        <v>0.125</v>
      </c>
      <c r="E18" s="47">
        <v>9.33</v>
      </c>
      <c r="F18" s="47">
        <v>20</v>
      </c>
      <c r="G18">
        <f t="shared" si="0"/>
        <v>186.6</v>
      </c>
      <c r="I18" s="73">
        <v>44598</v>
      </c>
    </row>
    <row r="19" spans="1:9" x14ac:dyDescent="0.25">
      <c r="A19" t="s">
        <v>154</v>
      </c>
      <c r="B19" t="s">
        <v>155</v>
      </c>
      <c r="C19" t="s">
        <v>54</v>
      </c>
      <c r="D19" s="45">
        <v>0.125</v>
      </c>
      <c r="E19" s="47">
        <v>9.33</v>
      </c>
      <c r="F19" s="47">
        <v>21</v>
      </c>
      <c r="G19">
        <f t="shared" si="0"/>
        <v>195.93</v>
      </c>
      <c r="I19" s="73">
        <v>44598</v>
      </c>
    </row>
    <row r="20" spans="1:9" x14ac:dyDescent="0.25">
      <c r="A20" t="s">
        <v>156</v>
      </c>
      <c r="B20" t="s">
        <v>157</v>
      </c>
      <c r="C20" t="s">
        <v>54</v>
      </c>
      <c r="D20" s="45">
        <v>0.125</v>
      </c>
      <c r="E20" s="46">
        <v>8.06</v>
      </c>
      <c r="F20" s="47">
        <v>24</v>
      </c>
      <c r="G20">
        <f t="shared" si="0"/>
        <v>193.44</v>
      </c>
      <c r="I20" s="73">
        <v>45454</v>
      </c>
    </row>
    <row r="21" spans="1:9" ht="15.75" x14ac:dyDescent="0.25">
      <c r="A21" s="48" t="s">
        <v>158</v>
      </c>
      <c r="B21" t="s">
        <v>159</v>
      </c>
      <c r="C21" t="s">
        <v>54</v>
      </c>
      <c r="D21" s="49">
        <v>0.25</v>
      </c>
      <c r="E21" s="50">
        <v>20.7</v>
      </c>
      <c r="F21" s="50">
        <v>20</v>
      </c>
      <c r="G21">
        <f t="shared" si="0"/>
        <v>414</v>
      </c>
      <c r="I21" s="73">
        <v>44598</v>
      </c>
    </row>
    <row r="22" spans="1:9" ht="15.75" x14ac:dyDescent="0.25">
      <c r="A22" s="48" t="s">
        <v>160</v>
      </c>
      <c r="B22" t="s">
        <v>161</v>
      </c>
      <c r="C22" t="s">
        <v>54</v>
      </c>
      <c r="D22" s="49">
        <v>0.25</v>
      </c>
      <c r="E22" s="50">
        <v>20.7</v>
      </c>
      <c r="F22" s="50">
        <v>24</v>
      </c>
      <c r="G22">
        <f t="shared" si="0"/>
        <v>496.79999999999995</v>
      </c>
      <c r="I22" s="73">
        <v>44598</v>
      </c>
    </row>
    <row r="23" spans="1:9" ht="15.75" x14ac:dyDescent="0.25">
      <c r="A23" s="48" t="s">
        <v>162</v>
      </c>
      <c r="B23" t="s">
        <v>163</v>
      </c>
      <c r="C23" t="s">
        <v>196</v>
      </c>
      <c r="D23" s="49">
        <v>0.25</v>
      </c>
      <c r="E23" s="46">
        <v>22.4</v>
      </c>
      <c r="F23" s="50">
        <v>20</v>
      </c>
      <c r="G23">
        <f t="shared" si="0"/>
        <v>448</v>
      </c>
      <c r="I23" s="73">
        <v>45333</v>
      </c>
    </row>
    <row r="24" spans="1:9" ht="15.75" x14ac:dyDescent="0.25">
      <c r="A24" s="48" t="s">
        <v>283</v>
      </c>
      <c r="B24" t="s">
        <v>164</v>
      </c>
      <c r="C24" t="s">
        <v>185</v>
      </c>
      <c r="D24" s="49">
        <v>0.25</v>
      </c>
      <c r="E24" s="50">
        <v>29.7</v>
      </c>
      <c r="F24" s="50">
        <v>21</v>
      </c>
      <c r="G24">
        <f t="shared" si="0"/>
        <v>623.69999999999993</v>
      </c>
      <c r="I24" s="73">
        <v>44598</v>
      </c>
    </row>
    <row r="25" spans="1:9" ht="15.75" x14ac:dyDescent="0.25">
      <c r="A25" s="48" t="s">
        <v>165</v>
      </c>
      <c r="B25" t="s">
        <v>166</v>
      </c>
      <c r="C25" t="s">
        <v>185</v>
      </c>
      <c r="D25" s="49">
        <v>0.25</v>
      </c>
      <c r="E25" s="50">
        <v>29.7</v>
      </c>
      <c r="F25" s="50">
        <v>24</v>
      </c>
      <c r="G25">
        <f t="shared" si="0"/>
        <v>712.8</v>
      </c>
      <c r="I25" s="73">
        <v>44598</v>
      </c>
    </row>
    <row r="26" spans="1:9" ht="15.75" x14ac:dyDescent="0.25">
      <c r="A26" s="48" t="s">
        <v>167</v>
      </c>
      <c r="B26" t="s">
        <v>168</v>
      </c>
      <c r="C26" t="s">
        <v>197</v>
      </c>
      <c r="D26" s="49">
        <v>0.25</v>
      </c>
      <c r="E26" s="46">
        <v>40.869999999999997</v>
      </c>
      <c r="F26" s="50">
        <v>24</v>
      </c>
      <c r="G26">
        <f t="shared" si="0"/>
        <v>980.87999999999988</v>
      </c>
      <c r="I26" s="73">
        <v>45454</v>
      </c>
    </row>
    <row r="27" spans="1:9" x14ac:dyDescent="0.25">
      <c r="A27" t="s">
        <v>169</v>
      </c>
      <c r="B27" t="s">
        <v>170</v>
      </c>
      <c r="D27" s="45">
        <v>6.5000000000000002E-2</v>
      </c>
      <c r="E27" s="46">
        <v>0.76819999999999999</v>
      </c>
      <c r="F27" s="47">
        <v>20</v>
      </c>
      <c r="G27">
        <f t="shared" si="0"/>
        <v>15.364000000000001</v>
      </c>
      <c r="I27" s="73">
        <v>45454</v>
      </c>
    </row>
    <row r="28" spans="1:9" x14ac:dyDescent="0.25">
      <c r="A28" t="s">
        <v>171</v>
      </c>
      <c r="B28" t="s">
        <v>172</v>
      </c>
      <c r="D28" s="45">
        <v>0.12</v>
      </c>
      <c r="E28" s="46">
        <v>1.46</v>
      </c>
      <c r="F28" s="47">
        <v>20</v>
      </c>
      <c r="G28">
        <f t="shared" si="0"/>
        <v>29.2</v>
      </c>
      <c r="I28" s="73">
        <v>45454</v>
      </c>
    </row>
    <row r="29" spans="1:9" x14ac:dyDescent="0.25">
      <c r="A29" t="s">
        <v>173</v>
      </c>
      <c r="B29" t="s">
        <v>174</v>
      </c>
      <c r="D29" s="45">
        <v>0.125</v>
      </c>
      <c r="E29" s="46">
        <v>1.89</v>
      </c>
      <c r="F29" s="47">
        <v>20</v>
      </c>
      <c r="G29">
        <f t="shared" si="0"/>
        <v>37.799999999999997</v>
      </c>
      <c r="I29" s="73">
        <v>45454</v>
      </c>
    </row>
    <row r="30" spans="1:9" x14ac:dyDescent="0.25">
      <c r="A30" t="s">
        <v>175</v>
      </c>
      <c r="B30" t="s">
        <v>176</v>
      </c>
      <c r="D30" s="45" t="s">
        <v>177</v>
      </c>
      <c r="E30" s="46">
        <v>3.3340000000000001</v>
      </c>
      <c r="F30" s="47">
        <v>20</v>
      </c>
      <c r="G30">
        <f t="shared" si="0"/>
        <v>66.680000000000007</v>
      </c>
      <c r="I30" s="73">
        <v>45454</v>
      </c>
    </row>
    <row r="31" spans="1:9" x14ac:dyDescent="0.25">
      <c r="A31" t="s">
        <v>178</v>
      </c>
      <c r="B31" t="s">
        <v>179</v>
      </c>
      <c r="D31" s="45">
        <v>0.12</v>
      </c>
      <c r="E31" s="46">
        <v>4.59</v>
      </c>
      <c r="F31" s="47">
        <v>20</v>
      </c>
      <c r="G31">
        <f t="shared" si="0"/>
        <v>91.8</v>
      </c>
      <c r="I31" s="73">
        <v>45454</v>
      </c>
    </row>
    <row r="32" spans="1:9" x14ac:dyDescent="0.25">
      <c r="A32" t="s">
        <v>180</v>
      </c>
      <c r="B32" t="s">
        <v>181</v>
      </c>
      <c r="D32" s="45">
        <v>0.125</v>
      </c>
      <c r="E32" s="46">
        <v>8.9600000000000009</v>
      </c>
      <c r="F32" s="47">
        <v>20</v>
      </c>
      <c r="G32">
        <f t="shared" si="0"/>
        <v>179.20000000000002</v>
      </c>
      <c r="I32" s="73">
        <v>45454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BE0D4-98BF-44CD-9F2C-D5ACB00119CC}">
  <sheetPr codeName="Sheet2"/>
  <dimension ref="A1:E9"/>
  <sheetViews>
    <sheetView workbookViewId="0">
      <selection activeCell="G10" sqref="G10"/>
    </sheetView>
  </sheetViews>
  <sheetFormatPr defaultRowHeight="15" x14ac:dyDescent="0.25"/>
  <cols>
    <col min="1" max="1" width="27.7109375" customWidth="1"/>
    <col min="2" max="2" width="16.42578125" customWidth="1"/>
    <col min="3" max="3" width="14.28515625" customWidth="1"/>
    <col min="4" max="4" width="12.42578125" customWidth="1"/>
  </cols>
  <sheetData>
    <row r="1" spans="1:5" x14ac:dyDescent="0.25">
      <c r="A1" s="66" t="s">
        <v>201</v>
      </c>
      <c r="C1" s="67" t="s">
        <v>202</v>
      </c>
      <c r="D1" s="68" t="s">
        <v>203</v>
      </c>
      <c r="E1" s="68" t="s">
        <v>61</v>
      </c>
    </row>
    <row r="2" spans="1:5" x14ac:dyDescent="0.25">
      <c r="A2" t="s">
        <v>204</v>
      </c>
      <c r="B2" t="s">
        <v>272</v>
      </c>
      <c r="D2" s="47">
        <v>72.12</v>
      </c>
    </row>
    <row r="3" spans="1:5" x14ac:dyDescent="0.25">
      <c r="A3" t="s">
        <v>206</v>
      </c>
      <c r="B3" t="s">
        <v>273</v>
      </c>
      <c r="C3" s="45"/>
      <c r="D3" s="47">
        <v>87</v>
      </c>
    </row>
    <row r="4" spans="1:5" x14ac:dyDescent="0.25">
      <c r="A4" t="s">
        <v>207</v>
      </c>
      <c r="C4" s="45"/>
      <c r="D4" s="47">
        <v>160</v>
      </c>
    </row>
    <row r="5" spans="1:5" x14ac:dyDescent="0.25">
      <c r="A5" t="s">
        <v>208</v>
      </c>
      <c r="B5" t="s">
        <v>209</v>
      </c>
      <c r="C5" s="45" t="s">
        <v>205</v>
      </c>
      <c r="D5" s="47">
        <v>65</v>
      </c>
      <c r="E5" t="s">
        <v>54</v>
      </c>
    </row>
    <row r="6" spans="1:5" x14ac:dyDescent="0.25">
      <c r="A6" t="s">
        <v>210</v>
      </c>
      <c r="B6" t="s">
        <v>211</v>
      </c>
      <c r="C6" s="45" t="s">
        <v>212</v>
      </c>
      <c r="D6" s="47">
        <v>130</v>
      </c>
    </row>
    <row r="7" spans="1:5" x14ac:dyDescent="0.25">
      <c r="A7" t="s">
        <v>213</v>
      </c>
      <c r="B7" t="s">
        <v>214</v>
      </c>
      <c r="C7" s="45" t="s">
        <v>215</v>
      </c>
      <c r="D7" s="47">
        <v>295</v>
      </c>
    </row>
    <row r="8" spans="1:5" x14ac:dyDescent="0.25">
      <c r="A8" t="s">
        <v>216</v>
      </c>
      <c r="B8" s="65" t="s">
        <v>217</v>
      </c>
      <c r="C8" s="45" t="s">
        <v>218</v>
      </c>
      <c r="D8" s="47">
        <v>126</v>
      </c>
    </row>
    <row r="9" spans="1:5" x14ac:dyDescent="0.25">
      <c r="A9" t="s">
        <v>219</v>
      </c>
      <c r="B9" t="s">
        <v>220</v>
      </c>
      <c r="C9" s="47" t="s">
        <v>205</v>
      </c>
      <c r="D9">
        <v>75</v>
      </c>
      <c r="E9" t="s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4069F-02F9-48A6-8FF0-33D166AC75ED}">
  <sheetPr codeName="Sheet5"/>
  <dimension ref="A1:E7"/>
  <sheetViews>
    <sheetView workbookViewId="0">
      <selection activeCell="F9" sqref="F9"/>
    </sheetView>
  </sheetViews>
  <sheetFormatPr defaultRowHeight="15" x14ac:dyDescent="0.25"/>
  <cols>
    <col min="1" max="1" width="13.140625" customWidth="1"/>
    <col min="2" max="2" width="14.7109375" customWidth="1"/>
    <col min="3" max="3" width="11.5703125" customWidth="1"/>
    <col min="4" max="4" width="11.140625" customWidth="1"/>
  </cols>
  <sheetData>
    <row r="1" spans="1:5" x14ac:dyDescent="0.25">
      <c r="A1" s="66" t="s">
        <v>221</v>
      </c>
      <c r="C1" s="67" t="s">
        <v>202</v>
      </c>
      <c r="D1" s="68" t="s">
        <v>203</v>
      </c>
      <c r="E1" s="68" t="s">
        <v>61</v>
      </c>
    </row>
    <row r="2" spans="1:5" x14ac:dyDescent="0.25">
      <c r="A2" t="s">
        <v>222</v>
      </c>
      <c r="B2" t="s">
        <v>223</v>
      </c>
      <c r="C2" s="45"/>
      <c r="D2" s="47">
        <v>17.25</v>
      </c>
      <c r="E2" t="s">
        <v>65</v>
      </c>
    </row>
    <row r="3" spans="1:5" x14ac:dyDescent="0.25">
      <c r="A3" t="s">
        <v>224</v>
      </c>
      <c r="B3" t="s">
        <v>225</v>
      </c>
      <c r="C3" s="45"/>
      <c r="D3" s="47">
        <v>21</v>
      </c>
      <c r="E3" t="s">
        <v>66</v>
      </c>
    </row>
    <row r="4" spans="1:5" x14ac:dyDescent="0.25">
      <c r="A4" t="s">
        <v>226</v>
      </c>
      <c r="B4" t="s">
        <v>227</v>
      </c>
      <c r="C4" s="45"/>
      <c r="D4" s="47">
        <v>25</v>
      </c>
      <c r="E4" t="s">
        <v>67</v>
      </c>
    </row>
    <row r="5" spans="1:5" x14ac:dyDescent="0.25">
      <c r="A5" t="s">
        <v>228</v>
      </c>
      <c r="B5" t="s">
        <v>229</v>
      </c>
      <c r="C5" s="45"/>
      <c r="D5" s="47">
        <v>23</v>
      </c>
      <c r="E5" t="s">
        <v>199</v>
      </c>
    </row>
    <row r="6" spans="1:5" x14ac:dyDescent="0.25">
      <c r="A6" t="s">
        <v>230</v>
      </c>
      <c r="B6" t="s">
        <v>231</v>
      </c>
      <c r="C6" s="45">
        <v>0.5</v>
      </c>
      <c r="D6" s="47">
        <v>35</v>
      </c>
      <c r="E6" t="s">
        <v>54</v>
      </c>
    </row>
    <row r="7" spans="1:5" x14ac:dyDescent="0.25">
      <c r="A7" t="s">
        <v>232</v>
      </c>
      <c r="B7" t="s">
        <v>233</v>
      </c>
      <c r="C7" s="45">
        <v>0.5</v>
      </c>
      <c r="D7" s="47">
        <v>40.25</v>
      </c>
      <c r="E7" t="s">
        <v>185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91086-BE21-46A6-88BA-E9F76855A9F9}">
  <sheetPr codeName="Sheet7"/>
  <dimension ref="A1:F7"/>
  <sheetViews>
    <sheetView workbookViewId="0">
      <selection activeCell="G10" sqref="G10"/>
    </sheetView>
  </sheetViews>
  <sheetFormatPr defaultRowHeight="15" x14ac:dyDescent="0.25"/>
  <cols>
    <col min="1" max="1" width="46.5703125" customWidth="1"/>
    <col min="2" max="2" width="15.7109375" customWidth="1"/>
    <col min="3" max="3" width="15.28515625" customWidth="1"/>
    <col min="4" max="4" width="11.7109375" customWidth="1"/>
    <col min="5" max="5" width="12.28515625" customWidth="1"/>
    <col min="6" max="6" width="12.42578125" customWidth="1"/>
  </cols>
  <sheetData>
    <row r="1" spans="1:6" x14ac:dyDescent="0.25">
      <c r="A1" s="66" t="s">
        <v>234</v>
      </c>
      <c r="C1" s="67" t="s">
        <v>119</v>
      </c>
      <c r="D1" s="68" t="s">
        <v>120</v>
      </c>
      <c r="E1" s="68" t="s">
        <v>121</v>
      </c>
      <c r="F1" s="69" t="s">
        <v>182</v>
      </c>
    </row>
    <row r="2" spans="1:6" x14ac:dyDescent="0.25">
      <c r="A2" t="s">
        <v>235</v>
      </c>
      <c r="B2" t="s">
        <v>236</v>
      </c>
      <c r="C2" s="45">
        <v>0.125</v>
      </c>
      <c r="D2" s="47">
        <v>0.8</v>
      </c>
      <c r="E2" s="47">
        <v>21</v>
      </c>
      <c r="F2" s="47">
        <f>SUM(D2)*E2</f>
        <v>16.8</v>
      </c>
    </row>
    <row r="3" spans="1:6" x14ac:dyDescent="0.25">
      <c r="A3" t="s">
        <v>237</v>
      </c>
      <c r="B3" t="s">
        <v>238</v>
      </c>
      <c r="C3" s="45">
        <v>0.125</v>
      </c>
      <c r="D3" s="47">
        <v>0.93</v>
      </c>
      <c r="E3" s="47">
        <v>21</v>
      </c>
      <c r="F3" s="47">
        <v>24.15</v>
      </c>
    </row>
    <row r="4" spans="1:6" x14ac:dyDescent="0.25">
      <c r="A4" t="s">
        <v>239</v>
      </c>
      <c r="B4" t="s">
        <v>240</v>
      </c>
      <c r="C4" s="45">
        <v>0.125</v>
      </c>
      <c r="D4" s="47">
        <v>1.1100000000000001</v>
      </c>
      <c r="E4" s="47">
        <v>20</v>
      </c>
      <c r="F4" s="47">
        <f>D4*E4</f>
        <v>22.200000000000003</v>
      </c>
    </row>
    <row r="5" spans="1:6" x14ac:dyDescent="0.25">
      <c r="A5" t="s">
        <v>241</v>
      </c>
      <c r="B5" t="s">
        <v>242</v>
      </c>
      <c r="C5" s="45">
        <v>0.125</v>
      </c>
      <c r="D5" s="47">
        <v>5.86</v>
      </c>
      <c r="E5" s="47">
        <v>20</v>
      </c>
      <c r="F5" s="47">
        <f>D5*E5</f>
        <v>117.2</v>
      </c>
    </row>
    <row r="6" spans="1:6" x14ac:dyDescent="0.25">
      <c r="A6" t="s">
        <v>243</v>
      </c>
      <c r="B6" t="s">
        <v>244</v>
      </c>
      <c r="C6" s="45">
        <v>0.188</v>
      </c>
      <c r="D6" s="47">
        <v>3.33</v>
      </c>
      <c r="E6" s="47">
        <v>20</v>
      </c>
      <c r="F6" s="47">
        <f>D6*E6</f>
        <v>66.599999999999994</v>
      </c>
    </row>
    <row r="7" spans="1:6" x14ac:dyDescent="0.25">
      <c r="A7" t="s">
        <v>274</v>
      </c>
      <c r="B7" t="s">
        <v>242</v>
      </c>
      <c r="F7">
        <v>37.68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99971-6FF2-4FB1-99B3-703ABC4B12B8}">
  <sheetPr codeName="Sheet8"/>
  <dimension ref="A1:E7"/>
  <sheetViews>
    <sheetView workbookViewId="0">
      <selection activeCell="D12" sqref="D12"/>
    </sheetView>
  </sheetViews>
  <sheetFormatPr defaultRowHeight="15" x14ac:dyDescent="0.25"/>
  <cols>
    <col min="1" max="1" width="29.140625" customWidth="1"/>
    <col min="2" max="3" width="11.7109375" customWidth="1"/>
    <col min="4" max="4" width="12.140625" customWidth="1"/>
    <col min="5" max="5" width="13.5703125" customWidth="1"/>
  </cols>
  <sheetData>
    <row r="1" spans="1:5" x14ac:dyDescent="0.25">
      <c r="A1" s="66" t="s">
        <v>265</v>
      </c>
      <c r="B1" s="67"/>
      <c r="C1" s="68" t="s">
        <v>120</v>
      </c>
      <c r="D1" s="68" t="s">
        <v>121</v>
      </c>
      <c r="E1" s="69" t="s">
        <v>182</v>
      </c>
    </row>
    <row r="2" spans="1:5" x14ac:dyDescent="0.25">
      <c r="A2" s="72" t="s">
        <v>266</v>
      </c>
      <c r="B2" s="45">
        <v>0.1875</v>
      </c>
      <c r="C2" s="46">
        <v>2.39</v>
      </c>
      <c r="D2" s="47">
        <v>20</v>
      </c>
      <c r="E2" s="46">
        <f t="shared" ref="E2:E5" si="0">C2*D2</f>
        <v>47.800000000000004</v>
      </c>
    </row>
    <row r="3" spans="1:5" x14ac:dyDescent="0.25">
      <c r="A3" s="72" t="s">
        <v>267</v>
      </c>
      <c r="B3" s="45">
        <v>0.5</v>
      </c>
      <c r="C3" s="46">
        <v>3.01</v>
      </c>
      <c r="D3" s="47">
        <v>20</v>
      </c>
      <c r="E3" s="46">
        <f t="shared" si="0"/>
        <v>60.199999999999996</v>
      </c>
    </row>
    <row r="4" spans="1:5" x14ac:dyDescent="0.25">
      <c r="A4" s="72" t="s">
        <v>268</v>
      </c>
      <c r="B4" s="45">
        <v>0.25</v>
      </c>
      <c r="C4" s="46">
        <v>3.94</v>
      </c>
      <c r="D4" s="47">
        <v>20</v>
      </c>
      <c r="E4" s="46">
        <f t="shared" si="0"/>
        <v>78.8</v>
      </c>
    </row>
    <row r="5" spans="1:5" x14ac:dyDescent="0.25">
      <c r="A5" s="72" t="s">
        <v>269</v>
      </c>
      <c r="B5" s="45">
        <v>0.125</v>
      </c>
      <c r="C5" s="46">
        <v>1.03</v>
      </c>
      <c r="D5" s="47">
        <v>20</v>
      </c>
      <c r="E5" s="46">
        <f t="shared" si="0"/>
        <v>20.6</v>
      </c>
    </row>
    <row r="6" spans="1:5" x14ac:dyDescent="0.25">
      <c r="A6" t="s">
        <v>270</v>
      </c>
      <c r="B6" s="45">
        <v>0.25</v>
      </c>
      <c r="C6" s="47">
        <v>4</v>
      </c>
      <c r="D6" s="47">
        <v>12</v>
      </c>
      <c r="E6" s="46">
        <v>55.8</v>
      </c>
    </row>
    <row r="7" spans="1:5" x14ac:dyDescent="0.25">
      <c r="A7" t="s">
        <v>271</v>
      </c>
      <c r="B7" s="45">
        <v>0.25</v>
      </c>
      <c r="C7" s="47">
        <v>4</v>
      </c>
      <c r="D7" s="47">
        <v>20</v>
      </c>
      <c r="E7" s="46">
        <v>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43F6-DBCA-42B4-A52E-496795C7FA15}">
  <sheetPr codeName="Sheet9"/>
  <dimension ref="A2:K27"/>
  <sheetViews>
    <sheetView workbookViewId="0">
      <selection activeCell="M34" sqref="M34"/>
    </sheetView>
  </sheetViews>
  <sheetFormatPr defaultRowHeight="15" x14ac:dyDescent="0.25"/>
  <sheetData>
    <row r="2" spans="1:9" x14ac:dyDescent="0.25">
      <c r="A2" t="s">
        <v>245</v>
      </c>
      <c r="I2" t="s">
        <v>246</v>
      </c>
    </row>
    <row r="4" spans="1:9" x14ac:dyDescent="0.25">
      <c r="A4" t="s">
        <v>247</v>
      </c>
    </row>
    <row r="5" spans="1:9" x14ac:dyDescent="0.25">
      <c r="A5" s="70" t="s">
        <v>248</v>
      </c>
    </row>
    <row r="6" spans="1:9" x14ac:dyDescent="0.25">
      <c r="A6" s="70" t="s">
        <v>249</v>
      </c>
      <c r="I6" t="s">
        <v>250</v>
      </c>
    </row>
    <row r="7" spans="1:9" x14ac:dyDescent="0.25">
      <c r="A7" s="70" t="s">
        <v>251</v>
      </c>
    </row>
    <row r="8" spans="1:9" x14ac:dyDescent="0.25">
      <c r="A8" s="70" t="s">
        <v>252</v>
      </c>
    </row>
    <row r="9" spans="1:9" x14ac:dyDescent="0.25">
      <c r="A9" s="70"/>
    </row>
    <row r="10" spans="1:9" x14ac:dyDescent="0.25">
      <c r="A10" s="70"/>
    </row>
    <row r="12" spans="1:9" x14ac:dyDescent="0.25">
      <c r="A12" s="70" t="s">
        <v>253</v>
      </c>
    </row>
    <row r="13" spans="1:9" x14ac:dyDescent="0.25">
      <c r="A13" s="70"/>
    </row>
    <row r="14" spans="1:9" x14ac:dyDescent="0.25">
      <c r="A14" s="70" t="s">
        <v>254</v>
      </c>
    </row>
    <row r="15" spans="1:9" x14ac:dyDescent="0.25">
      <c r="A15" s="70"/>
    </row>
    <row r="17" spans="1:11" x14ac:dyDescent="0.25">
      <c r="A17" t="s">
        <v>255</v>
      </c>
      <c r="I17" t="s">
        <v>256</v>
      </c>
    </row>
    <row r="18" spans="1:11" x14ac:dyDescent="0.25">
      <c r="A18" t="s">
        <v>257</v>
      </c>
      <c r="E18" t="s">
        <v>258</v>
      </c>
    </row>
    <row r="20" spans="1:11" ht="15.75" x14ac:dyDescent="0.25">
      <c r="A20" s="71" t="s">
        <v>259</v>
      </c>
    </row>
    <row r="23" spans="1:11" x14ac:dyDescent="0.25">
      <c r="A23" t="s">
        <v>260</v>
      </c>
    </row>
    <row r="25" spans="1:11" x14ac:dyDescent="0.25">
      <c r="A25" t="s">
        <v>261</v>
      </c>
    </row>
    <row r="26" spans="1:11" x14ac:dyDescent="0.25">
      <c r="A26" t="s">
        <v>262</v>
      </c>
      <c r="K26" t="s">
        <v>263</v>
      </c>
    </row>
    <row r="27" spans="1:11" x14ac:dyDescent="0.25">
      <c r="A27" t="s">
        <v>264</v>
      </c>
      <c r="K27" t="s">
        <v>263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F7A6-9611-4FFD-BB64-576EBBD2BD00}">
  <sheetPr codeName="Sheet4"/>
  <dimension ref="A1:H5"/>
  <sheetViews>
    <sheetView workbookViewId="0">
      <selection activeCell="G26" sqref="G26"/>
    </sheetView>
  </sheetViews>
  <sheetFormatPr defaultRowHeight="15" x14ac:dyDescent="0.25"/>
  <cols>
    <col min="2" max="2" width="11.7109375" customWidth="1"/>
    <col min="3" max="3" width="10.85546875" customWidth="1"/>
  </cols>
  <sheetData>
    <row r="1" spans="1:8" s="8" customFormat="1" x14ac:dyDescent="0.25">
      <c r="A1" s="8" t="s">
        <v>61</v>
      </c>
      <c r="B1" s="8" t="s">
        <v>68</v>
      </c>
      <c r="C1" s="8" t="s">
        <v>63</v>
      </c>
      <c r="G1" s="8" t="s">
        <v>54</v>
      </c>
      <c r="H1" s="8" t="s">
        <v>185</v>
      </c>
    </row>
    <row r="2" spans="1:8" x14ac:dyDescent="0.25">
      <c r="A2" t="s">
        <v>64</v>
      </c>
      <c r="B2">
        <v>1</v>
      </c>
      <c r="C2">
        <v>3</v>
      </c>
      <c r="G2">
        <v>0.125</v>
      </c>
      <c r="H2">
        <v>0.25</v>
      </c>
    </row>
    <row r="3" spans="1:8" x14ac:dyDescent="0.25">
      <c r="A3" t="s">
        <v>65</v>
      </c>
      <c r="B3">
        <v>2</v>
      </c>
      <c r="C3">
        <v>4</v>
      </c>
      <c r="G3">
        <v>0.25</v>
      </c>
    </row>
    <row r="4" spans="1:8" x14ac:dyDescent="0.25">
      <c r="A4" t="s">
        <v>66</v>
      </c>
      <c r="B4">
        <v>2</v>
      </c>
      <c r="C4">
        <v>5</v>
      </c>
    </row>
    <row r="5" spans="1:8" x14ac:dyDescent="0.25">
      <c r="A5" t="s">
        <v>67</v>
      </c>
      <c r="B5">
        <v>2</v>
      </c>
      <c r="C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Sheet1</vt:lpstr>
      <vt:lpstr>Quoting</vt:lpstr>
      <vt:lpstr>Pricing</vt:lpstr>
      <vt:lpstr>Connectors</vt:lpstr>
      <vt:lpstr>EndCaps</vt:lpstr>
      <vt:lpstr>Angle</vt:lpstr>
      <vt:lpstr>Flatbar</vt:lpstr>
      <vt:lpstr>Wood</vt:lpstr>
      <vt:lpstr>Settings</vt:lpstr>
      <vt:lpstr>AngleIronList</vt:lpstr>
      <vt:lpstr>BlocksList</vt:lpstr>
      <vt:lpstr>EndCapsList</vt:lpstr>
      <vt:lpstr>FlatbarList</vt:lpstr>
      <vt:lpstr>TubingList</vt:lpstr>
      <vt:lpstr>x4x4</vt:lpstr>
      <vt:lpstr>x6x6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Precidio E</dc:creator>
  <cp:lastModifiedBy>Abid Azad</cp:lastModifiedBy>
  <cp:lastPrinted>2025-09-25T20:07:32Z</cp:lastPrinted>
  <dcterms:created xsi:type="dcterms:W3CDTF">2025-08-19T00:02:18Z</dcterms:created>
  <dcterms:modified xsi:type="dcterms:W3CDTF">2026-03-02T19:48:08Z</dcterms:modified>
</cp:coreProperties>
</file>